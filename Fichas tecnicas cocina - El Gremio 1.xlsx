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u\"/>
    </mc:Choice>
  </mc:AlternateContent>
  <xr:revisionPtr revIDLastSave="0" documentId="13_ncr:1_{C7A57CCA-AEFA-4A7F-8A08-B140F34CDA42}" xr6:coauthVersionLast="47" xr6:coauthVersionMax="47" xr10:uidLastSave="{00000000-0000-0000-0000-000000000000}"/>
  <bookViews>
    <workbookView xWindow="-110" yWindow="-110" windowWidth="19420" windowHeight="11020" xr2:uid="{70D15C04-E3FB-40E1-8E1F-1ACA70FF227B}"/>
  </bookViews>
  <sheets>
    <sheet name="Adobo base seco" sheetId="1" r:id="rId1"/>
    <sheet name="Alitas Base" sheetId="2" r:id="rId2"/>
    <sheet name="Salsas" sheetId="3" r:id="rId3"/>
    <sheet name="Rellenos" sheetId="7" r:id="rId4"/>
    <sheet name="Masa crepes" sheetId="4" r:id="rId5"/>
    <sheet name="Crepes salados" sheetId="8" r:id="rId6"/>
    <sheet name="Crepes dulces" sheetId="5" r:id="rId7"/>
    <sheet name="Sandwiches" sheetId="9" r:id="rId8"/>
    <sheet name="Hamburguesas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H54" i="1" s="1"/>
  <c r="H45" i="1"/>
  <c r="H46" i="1"/>
  <c r="H47" i="1"/>
  <c r="H48" i="1"/>
  <c r="H49" i="1"/>
  <c r="H90" i="7"/>
  <c r="H90" i="3"/>
  <c r="H34" i="3"/>
  <c r="H9" i="3"/>
  <c r="H19" i="3"/>
  <c r="H9" i="9"/>
  <c r="H25" i="9"/>
  <c r="H50" i="9"/>
  <c r="H48" i="9"/>
  <c r="H15" i="10"/>
  <c r="H14" i="10"/>
  <c r="H40" i="10"/>
  <c r="H29" i="8"/>
  <c r="H20" i="8"/>
  <c r="H19" i="8"/>
  <c r="H9" i="8"/>
  <c r="H39" i="10"/>
  <c r="H42" i="10" s="1"/>
  <c r="H37" i="10"/>
  <c r="H46" i="9"/>
  <c r="H13" i="7"/>
  <c r="H23" i="9"/>
  <c r="H22" i="9"/>
  <c r="H7" i="9"/>
  <c r="H27" i="8"/>
  <c r="H17" i="8"/>
  <c r="H7" i="8"/>
  <c r="H22" i="5"/>
  <c r="H6" i="5"/>
  <c r="H12" i="2" l="1"/>
  <c r="H89" i="3"/>
  <c r="H88" i="3"/>
  <c r="H87" i="3"/>
  <c r="H86" i="3"/>
  <c r="H84" i="3"/>
  <c r="H85" i="3"/>
  <c r="H72" i="3"/>
  <c r="H71" i="3"/>
  <c r="H70" i="3"/>
  <c r="H69" i="3"/>
  <c r="H68" i="3"/>
  <c r="H67" i="3"/>
  <c r="H120" i="7"/>
  <c r="H119" i="7"/>
  <c r="H121" i="7"/>
  <c r="H118" i="7"/>
  <c r="H122" i="7"/>
  <c r="H41" i="10"/>
  <c r="H38" i="10"/>
  <c r="H36" i="10"/>
  <c r="H101" i="7"/>
  <c r="H100" i="7"/>
  <c r="H99" i="7"/>
  <c r="H98" i="7"/>
  <c r="H89" i="7"/>
  <c r="H88" i="7"/>
  <c r="H87" i="7"/>
  <c r="H86" i="7"/>
  <c r="H85" i="7"/>
  <c r="H84" i="7"/>
  <c r="H83" i="7"/>
  <c r="H82" i="7"/>
  <c r="H81" i="7"/>
  <c r="H17" i="10"/>
  <c r="H16" i="10"/>
  <c r="H13" i="10"/>
  <c r="H12" i="10"/>
  <c r="H11" i="10"/>
  <c r="H10" i="10"/>
  <c r="H9" i="10"/>
  <c r="H8" i="10"/>
  <c r="H7" i="10"/>
  <c r="H6" i="10"/>
  <c r="H49" i="9"/>
  <c r="H47" i="9"/>
  <c r="H45" i="9"/>
  <c r="H26" i="9"/>
  <c r="H24" i="9"/>
  <c r="H10" i="9"/>
  <c r="H8" i="9"/>
  <c r="H6" i="9"/>
  <c r="H70" i="7"/>
  <c r="H69" i="7"/>
  <c r="H68" i="7"/>
  <c r="H67" i="7"/>
  <c r="H66" i="7"/>
  <c r="H65" i="7"/>
  <c r="H64" i="7"/>
  <c r="H63" i="7"/>
  <c r="H26" i="8"/>
  <c r="H30" i="8"/>
  <c r="H28" i="8"/>
  <c r="H18" i="8"/>
  <c r="H46" i="7"/>
  <c r="H16" i="8"/>
  <c r="H8" i="8"/>
  <c r="H6" i="8"/>
  <c r="H57" i="3"/>
  <c r="H56" i="3"/>
  <c r="H55" i="3"/>
  <c r="H54" i="3"/>
  <c r="H53" i="3"/>
  <c r="H58" i="3"/>
  <c r="H48" i="3"/>
  <c r="H47" i="3"/>
  <c r="H46" i="3"/>
  <c r="H45" i="3"/>
  <c r="H44" i="3"/>
  <c r="H43" i="3"/>
  <c r="H45" i="7"/>
  <c r="H44" i="7"/>
  <c r="H43" i="7"/>
  <c r="H5" i="7"/>
  <c r="H6" i="7"/>
  <c r="H7" i="7"/>
  <c r="H8" i="7"/>
  <c r="H9" i="7"/>
  <c r="H10" i="7"/>
  <c r="H11" i="7"/>
  <c r="H12" i="7"/>
  <c r="H22" i="7"/>
  <c r="H23" i="7"/>
  <c r="H24" i="7"/>
  <c r="H25" i="7"/>
  <c r="H26" i="7"/>
  <c r="H27" i="7"/>
  <c r="H28" i="7"/>
  <c r="H29" i="7"/>
  <c r="H31" i="5"/>
  <c r="H30" i="5"/>
  <c r="H32" i="5"/>
  <c r="H24" i="5"/>
  <c r="H25" i="5"/>
  <c r="H23" i="5"/>
  <c r="H10" i="5"/>
  <c r="H9" i="5"/>
  <c r="H8" i="5"/>
  <c r="H7" i="5"/>
  <c r="H11" i="4"/>
  <c r="H10" i="4"/>
  <c r="H9" i="4"/>
  <c r="H8" i="4"/>
  <c r="H7" i="4"/>
  <c r="H6" i="4"/>
  <c r="H33" i="3"/>
  <c r="H32" i="3"/>
  <c r="H31" i="3"/>
  <c r="H30" i="3"/>
  <c r="H29" i="3"/>
  <c r="H28" i="3"/>
  <c r="H27" i="3"/>
  <c r="H18" i="3"/>
  <c r="H17" i="3"/>
  <c r="H16" i="3"/>
  <c r="H8" i="3"/>
  <c r="H7" i="3"/>
  <c r="H6" i="3"/>
  <c r="H11" i="2"/>
  <c r="H10" i="2"/>
  <c r="H9" i="2"/>
  <c r="H8" i="2"/>
  <c r="H6" i="2"/>
  <c r="H7" i="2"/>
  <c r="H14" i="1"/>
  <c r="H13" i="1"/>
  <c r="H12" i="1"/>
  <c r="H11" i="1"/>
  <c r="H10" i="1"/>
  <c r="H9" i="1"/>
  <c r="H8" i="1"/>
  <c r="H7" i="1"/>
  <c r="H6" i="1"/>
  <c r="H15" i="1" l="1"/>
  <c r="H11" i="9"/>
  <c r="H10" i="8"/>
  <c r="H26" i="5"/>
  <c r="H12" i="4"/>
  <c r="H73" i="3"/>
  <c r="H59" i="3"/>
  <c r="H49" i="3"/>
  <c r="H123" i="7"/>
  <c r="H47" i="7"/>
  <c r="H71" i="7"/>
  <c r="H103" i="7"/>
  <c r="H18" i="10"/>
  <c r="H27" i="9"/>
  <c r="H33" i="5"/>
  <c r="H11" i="5"/>
  <c r="H30" i="7"/>
</calcChain>
</file>

<file path=xl/sharedStrings.xml><?xml version="1.0" encoding="utf-8"?>
<sst xmlns="http://schemas.openxmlformats.org/spreadsheetml/2006/main" count="770" uniqueCount="219">
  <si>
    <t>INGREDIENTES</t>
  </si>
  <si>
    <t>Cantidad</t>
  </si>
  <si>
    <t>Und Med</t>
  </si>
  <si>
    <t>Precio Compra</t>
  </si>
  <si>
    <t>P. Por Porcion</t>
  </si>
  <si>
    <t>Gr</t>
  </si>
  <si>
    <t>Aceite</t>
  </si>
  <si>
    <t>ml</t>
  </si>
  <si>
    <t>Huevos</t>
  </si>
  <si>
    <t>TOTAL</t>
  </si>
  <si>
    <t>Alitas Base</t>
  </si>
  <si>
    <t>Alitas de pollo</t>
  </si>
  <si>
    <t>Sal</t>
  </si>
  <si>
    <t>Paprika</t>
  </si>
  <si>
    <t>Ajo en polvo</t>
  </si>
  <si>
    <t>Curcuma</t>
  </si>
  <si>
    <t>Comino</t>
  </si>
  <si>
    <t>Agua</t>
  </si>
  <si>
    <t xml:space="preserve">Harina de trigo </t>
  </si>
  <si>
    <t xml:space="preserve">Cebolla en polvo </t>
  </si>
  <si>
    <t>Pimienta</t>
  </si>
  <si>
    <t>Oregano en polvo</t>
  </si>
  <si>
    <t>Sazona todo</t>
  </si>
  <si>
    <t>peso de presentacion</t>
  </si>
  <si>
    <t>500 gr</t>
  </si>
  <si>
    <t>60gr</t>
  </si>
  <si>
    <t>25gr</t>
  </si>
  <si>
    <t>500gr</t>
  </si>
  <si>
    <t>Adobo base en seco</t>
  </si>
  <si>
    <t>Adobo base (seco)</t>
  </si>
  <si>
    <t>Harina de trigo</t>
  </si>
  <si>
    <t>Maicena</t>
  </si>
  <si>
    <t>Ml</t>
  </si>
  <si>
    <t>Aceite (por absorcion)</t>
  </si>
  <si>
    <t>1000gr</t>
  </si>
  <si>
    <t>200gr</t>
  </si>
  <si>
    <t>900ml</t>
  </si>
  <si>
    <t>Agua (para activar adobo)</t>
  </si>
  <si>
    <t xml:space="preserve">Peso de presentacion </t>
  </si>
  <si>
    <t>Precio Por Porcion</t>
  </si>
  <si>
    <t>Mantequilla</t>
  </si>
  <si>
    <t>Miel</t>
  </si>
  <si>
    <t>Lemmon pepper</t>
  </si>
  <si>
    <t>gr</t>
  </si>
  <si>
    <t>350gr</t>
  </si>
  <si>
    <t xml:space="preserve"> </t>
  </si>
  <si>
    <t>Mostaza</t>
  </si>
  <si>
    <t>Mayonesa</t>
  </si>
  <si>
    <t>400gr</t>
  </si>
  <si>
    <t>Salsa Picante</t>
  </si>
  <si>
    <t>Vinagre</t>
  </si>
  <si>
    <t xml:space="preserve">Ajo en polvo </t>
  </si>
  <si>
    <t>Salsa de tomate</t>
  </si>
  <si>
    <t>300gr</t>
  </si>
  <si>
    <t>1000ml</t>
  </si>
  <si>
    <t>Leche</t>
  </si>
  <si>
    <t>Azucar</t>
  </si>
  <si>
    <t>Mantequilla derretida</t>
  </si>
  <si>
    <t>U</t>
  </si>
  <si>
    <t>C/U</t>
  </si>
  <si>
    <t>Masa para crepes (15 aproximadamente)</t>
  </si>
  <si>
    <t>Crepe de nutella</t>
  </si>
  <si>
    <t>Crepe base</t>
  </si>
  <si>
    <t>Nutella</t>
  </si>
  <si>
    <t>Fresas</t>
  </si>
  <si>
    <t>Leche condensada</t>
  </si>
  <si>
    <t>Banano</t>
  </si>
  <si>
    <t>100gr</t>
  </si>
  <si>
    <t>Chilacuan en almibar</t>
  </si>
  <si>
    <t>Queso campesino</t>
  </si>
  <si>
    <t>280gr</t>
  </si>
  <si>
    <t>1220gr</t>
  </si>
  <si>
    <t>360gr</t>
  </si>
  <si>
    <t>Crepe de Chilacuan</t>
  </si>
  <si>
    <t>Crema de Naranja</t>
  </si>
  <si>
    <t>Crema de leche</t>
  </si>
  <si>
    <t>ralladura de naranja</t>
  </si>
  <si>
    <t>almibar de chilacuan</t>
  </si>
  <si>
    <t>150gr</t>
  </si>
  <si>
    <t>Filetes de pechuga de pollo</t>
  </si>
  <si>
    <t>Champiñones</t>
  </si>
  <si>
    <t>Cebolla cabezona</t>
  </si>
  <si>
    <t>Vino blanco</t>
  </si>
  <si>
    <t>600gr</t>
  </si>
  <si>
    <t>250gr</t>
  </si>
  <si>
    <t>750ml</t>
  </si>
  <si>
    <t>Pecho de res</t>
  </si>
  <si>
    <t xml:space="preserve">Carne de hamburguesa </t>
  </si>
  <si>
    <t>maiz dulce</t>
  </si>
  <si>
    <t>salsa bufalo</t>
  </si>
  <si>
    <t>80ml</t>
  </si>
  <si>
    <t>Huevo</t>
  </si>
  <si>
    <t>Dientes de ajo</t>
  </si>
  <si>
    <t>Sazonatodo</t>
  </si>
  <si>
    <t>50gr</t>
  </si>
  <si>
    <t>SALSA HOBBYCENTER</t>
  </si>
  <si>
    <t>Mezcla final</t>
  </si>
  <si>
    <t xml:space="preserve">Mayonesa de ajo </t>
  </si>
  <si>
    <t>Salsa bbq</t>
  </si>
  <si>
    <t>mostaza</t>
  </si>
  <si>
    <t>vinagre</t>
  </si>
  <si>
    <t>miel</t>
  </si>
  <si>
    <t>Salsa inglesa</t>
  </si>
  <si>
    <t>Base mayonesa de ajo (400gr)</t>
  </si>
  <si>
    <t>30gr</t>
  </si>
  <si>
    <t>Relleno pollo con champiñones</t>
  </si>
  <si>
    <t>Salsa hobbycenter</t>
  </si>
  <si>
    <t>130gr</t>
  </si>
  <si>
    <t>650gr</t>
  </si>
  <si>
    <t>Crepe pollo con champiñones</t>
  </si>
  <si>
    <t>Relleno stroganoff de res</t>
  </si>
  <si>
    <t xml:space="preserve">Crepe stroganoff de res </t>
  </si>
  <si>
    <t>Crepe Mexicano</t>
  </si>
  <si>
    <t>Relleno carne picante</t>
  </si>
  <si>
    <t>Atun en lata</t>
  </si>
  <si>
    <t>Cebolla morada</t>
  </si>
  <si>
    <t>Maiz dulce</t>
  </si>
  <si>
    <t>Cilantro fresco</t>
  </si>
  <si>
    <t>Queso crema</t>
  </si>
  <si>
    <t>142gr</t>
  </si>
  <si>
    <t>Sandwich de pollo con champiñones</t>
  </si>
  <si>
    <t xml:space="preserve">    </t>
  </si>
  <si>
    <t xml:space="preserve">  </t>
  </si>
  <si>
    <t>pan tipo cubano</t>
  </si>
  <si>
    <t>relleno pollo con champiñones</t>
  </si>
  <si>
    <t>Queso tajado</t>
  </si>
  <si>
    <t>salsa hobbycenter</t>
  </si>
  <si>
    <t>Pan tipo cubano</t>
  </si>
  <si>
    <t>queso tajado</t>
  </si>
  <si>
    <t xml:space="preserve">Sandwich stroganoff de res </t>
  </si>
  <si>
    <t xml:space="preserve">Sandwich de atun </t>
  </si>
  <si>
    <t xml:space="preserve">Pan tipo cubano </t>
  </si>
  <si>
    <t xml:space="preserve">Relleno de atun </t>
  </si>
  <si>
    <t xml:space="preserve">Queso tajado </t>
  </si>
  <si>
    <t xml:space="preserve">Mantequilla </t>
  </si>
  <si>
    <t xml:space="preserve">Carne de res molida </t>
  </si>
  <si>
    <t>Pan artesanal</t>
  </si>
  <si>
    <t>tocineta</t>
  </si>
  <si>
    <t>cebolla cabezona</t>
  </si>
  <si>
    <t>azucar</t>
  </si>
  <si>
    <t>tomate</t>
  </si>
  <si>
    <t>lechuga</t>
  </si>
  <si>
    <t>Salsa tipo cheddar</t>
  </si>
  <si>
    <t>2gr</t>
  </si>
  <si>
    <t>1 rodaja  gr</t>
  </si>
  <si>
    <t>1 hoja gr</t>
  </si>
  <si>
    <t>320gr</t>
  </si>
  <si>
    <t>180gr</t>
  </si>
  <si>
    <t>Repollo verde</t>
  </si>
  <si>
    <t>repollo morado</t>
  </si>
  <si>
    <t>Zanahoria</t>
  </si>
  <si>
    <t xml:space="preserve">Crema de lecha </t>
  </si>
  <si>
    <t xml:space="preserve">Filete de pollo apanado </t>
  </si>
  <si>
    <t xml:space="preserve">Pechuga de pollo </t>
  </si>
  <si>
    <t>Adobo de alitas (activado con agua)</t>
  </si>
  <si>
    <t>C/N</t>
  </si>
  <si>
    <t>800gr</t>
  </si>
  <si>
    <t>Manzana verde</t>
  </si>
  <si>
    <t>651gr</t>
  </si>
  <si>
    <t>629gr</t>
  </si>
  <si>
    <t>1 kilogramo (10 porciones de 100 gramos)</t>
  </si>
  <si>
    <t>100gr = 337</t>
  </si>
  <si>
    <t xml:space="preserve">Pan artesanal </t>
  </si>
  <si>
    <t>Ensalada coleslaw</t>
  </si>
  <si>
    <t>435gr</t>
  </si>
  <si>
    <t>Arroz comino</t>
  </si>
  <si>
    <t>Tomate</t>
  </si>
  <si>
    <t>Cebolla cabezona morada</t>
  </si>
  <si>
    <t xml:space="preserve">Cilantro fresco </t>
  </si>
  <si>
    <t xml:space="preserve">Jugo de limon </t>
  </si>
  <si>
    <t>Aguacate hass</t>
  </si>
  <si>
    <t xml:space="preserve">Cebolla cabezona </t>
  </si>
  <si>
    <t xml:space="preserve">Sal </t>
  </si>
  <si>
    <t xml:space="preserve">Pimineta </t>
  </si>
  <si>
    <t>45ml</t>
  </si>
  <si>
    <t>COSTO TOTAL</t>
  </si>
  <si>
    <t>COSTO UNITARIO</t>
  </si>
  <si>
    <t>Para una unidad de crepe se usarian 80gr de masa aprox</t>
  </si>
  <si>
    <t>PESO TOTAL MASA</t>
  </si>
  <si>
    <t>Pollo con champiñones ( 5 porciones)</t>
  </si>
  <si>
    <t>Para una porcion de relleno se usarian 130gr C/U</t>
  </si>
  <si>
    <t>PESO TOTAL DE RELLENO</t>
  </si>
  <si>
    <t>Para una porcion de relleno se usarian 130 gr C/U</t>
  </si>
  <si>
    <t>Stroganoff de res (5 porciones)</t>
  </si>
  <si>
    <t>Carne picante (4 porciones)</t>
  </si>
  <si>
    <t>Para una porcion de relleno se usarian 150gr C/U</t>
  </si>
  <si>
    <t>610gr</t>
  </si>
  <si>
    <t>Atun cremoso (5 porciones)</t>
  </si>
  <si>
    <t>Para una porcion de relleno se usarian 125gr C/U</t>
  </si>
  <si>
    <t>125gr</t>
  </si>
  <si>
    <t>Ensalada Coleslaw ( 6 porciones)</t>
  </si>
  <si>
    <t>Para una porcion de relleno se usarian 72gr</t>
  </si>
  <si>
    <t>Filete de pollo apanado (5 porciones)</t>
  </si>
  <si>
    <t>Para una porcion se usarian 132gr</t>
  </si>
  <si>
    <t>PESO TOTAL DE PROTEINA</t>
  </si>
  <si>
    <t xml:space="preserve">COSTO UNITARIO </t>
  </si>
  <si>
    <t>660 gr</t>
  </si>
  <si>
    <t>132gr</t>
  </si>
  <si>
    <t>72gr</t>
  </si>
  <si>
    <t>Para porcion de salsa se usarian 30gr</t>
  </si>
  <si>
    <t>PESO TOTAL SALSA</t>
  </si>
  <si>
    <t>Para porcion se usarian 60gr</t>
  </si>
  <si>
    <t>Salsa lemmon pepper (3 porciones)</t>
  </si>
  <si>
    <t>Salsa miel mostaza (4 porciones)</t>
  </si>
  <si>
    <t>Salsa bufalo (5 porciones)</t>
  </si>
  <si>
    <t>Para porcion de usarian 60gr</t>
  </si>
  <si>
    <t xml:space="preserve">Para porcion se usrian 70 gr </t>
  </si>
  <si>
    <t xml:space="preserve">Para porcion de salsa se usarian 74gr </t>
  </si>
  <si>
    <t>Pico de gallo (5 porciones)</t>
  </si>
  <si>
    <t>448gr</t>
  </si>
  <si>
    <t>Para porcion de salsa se usarian 78 gr</t>
  </si>
  <si>
    <t>Guacamole (7porciones)</t>
  </si>
  <si>
    <t>Hamburguesa de pollo</t>
  </si>
  <si>
    <t xml:space="preserve">Hamburguesa de res </t>
  </si>
  <si>
    <t>PRECIO TOTAL</t>
  </si>
  <si>
    <t>Para una porcion se usarian 100 gr</t>
  </si>
  <si>
    <t xml:space="preserve">Arroz blanco (6 porciones) </t>
  </si>
  <si>
    <t>1 tajada gr</t>
  </si>
  <si>
    <t>2 tajadas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</si>
</sst>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47">
    <xf numFmtId="0" fontId="0" fillId="0" borderId="0" xfId="0"/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164" fontId="4" fillId="8" borderId="4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3" borderId="1" xfId="2" applyFont="1" applyBorder="1" applyAlignment="1">
      <alignment horizontal="center"/>
    </xf>
    <xf numFmtId="0" fontId="1" fillId="2" borderId="0" xfId="1"/>
    <xf numFmtId="0" fontId="0" fillId="2" borderId="0" xfId="1" applyFont="1"/>
    <xf numFmtId="0" fontId="0" fillId="0" borderId="0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5" borderId="0" xfId="4"/>
    <xf numFmtId="0" fontId="1" fillId="6" borderId="0" xfId="5"/>
    <xf numFmtId="0" fontId="1" fillId="6" borderId="0" xfId="5" applyBorder="1" applyAlignment="1">
      <alignment horizontal="center"/>
    </xf>
    <xf numFmtId="0" fontId="0" fillId="6" borderId="0" xfId="5" applyFont="1"/>
    <xf numFmtId="2" fontId="4" fillId="8" borderId="4" xfId="0" applyNumberFormat="1" applyFont="1" applyFill="1" applyBorder="1" applyAlignment="1">
      <alignment horizontal="center"/>
    </xf>
    <xf numFmtId="2" fontId="4" fillId="8" borderId="3" xfId="0" applyNumberFormat="1" applyFont="1" applyFill="1" applyBorder="1" applyAlignment="1">
      <alignment horizontal="center"/>
    </xf>
    <xf numFmtId="2" fontId="0" fillId="0" borderId="0" xfId="0" applyNumberFormat="1"/>
    <xf numFmtId="2" fontId="3" fillId="7" borderId="1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4" fillId="8" borderId="0" xfId="0" applyFont="1" applyFill="1"/>
    <xf numFmtId="0" fontId="5" fillId="8" borderId="0" xfId="3" applyFont="1" applyFill="1"/>
    <xf numFmtId="0" fontId="0" fillId="4" borderId="5" xfId="3" applyFont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0" xfId="0" applyFill="1"/>
    <xf numFmtId="0" fontId="0" fillId="11" borderId="5" xfId="0" applyFill="1" applyBorder="1" applyAlignment="1">
      <alignment horizontal="center"/>
    </xf>
    <xf numFmtId="2" fontId="4" fillId="8" borderId="6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2" fontId="4" fillId="8" borderId="0" xfId="0" applyNumberFormat="1" applyFont="1" applyFill="1"/>
    <xf numFmtId="0" fontId="0" fillId="9" borderId="0" xfId="0" applyFill="1"/>
    <xf numFmtId="2" fontId="4" fillId="0" borderId="0" xfId="0" applyNumberFormat="1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0" borderId="0" xfId="3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9" borderId="0" xfId="3" applyFont="1" applyFill="1"/>
    <xf numFmtId="0" fontId="0" fillId="9" borderId="5" xfId="3" applyFont="1" applyFill="1" applyBorder="1" applyAlignment="1">
      <alignment horizontal="center"/>
    </xf>
    <xf numFmtId="0" fontId="0" fillId="3" borderId="0" xfId="2" applyFont="1"/>
    <xf numFmtId="0" fontId="0" fillId="9" borderId="0" xfId="0" applyFill="1" applyBorder="1" applyAlignment="1">
      <alignment horizontal="center"/>
    </xf>
  </cellXfs>
  <cellStyles count="6">
    <cellStyle name="40% - Énfasis1" xfId="1" builtinId="31"/>
    <cellStyle name="60% - Énfasis1" xfId="2" builtinId="32"/>
    <cellStyle name="60% - Énfasis4" xfId="3" builtinId="44"/>
    <cellStyle name="60% - Énfasis5" xfId="5" builtinId="48"/>
    <cellStyle name="Énfasis5" xfId="4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159439</xdr:colOff>
      <xdr:row>2</xdr:row>
      <xdr:rowOff>165351</xdr:rowOff>
    </xdr:from>
    <xdr:to>
      <xdr:col>13</xdr:col>
      <xdr:colOff>154215</xdr:colOff>
      <xdr:row>15</xdr:row>
      <xdr:rowOff>18143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5B96488-1602-4A49-937D-3D7695E473F3}"/>
            </a:ext>
          </a:extLst>
        </xdr:cNvPr>
        <xdr:cNvSpPr txBox="1"/>
      </xdr:nvSpPr>
      <xdr:spPr>
        <a:xfrm>
          <a:off x="8559582" y="528208"/>
          <a:ext cx="3804776" cy="2483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Pesar todos los ingredientes por separado. </a:t>
          </a:r>
        </a:p>
        <a:p>
          <a:r>
            <a:rPr lang="es-CO"/>
            <a:t>° Tamizar (opcional pero recomendado) para evitar grumos. </a:t>
          </a:r>
        </a:p>
        <a:p>
          <a:r>
            <a:rPr lang="es-CO"/>
            <a:t> ° Mezclar en un recipiente amplio hasta lograr color uniforme. </a:t>
          </a:r>
        </a:p>
        <a:p>
          <a:r>
            <a:rPr lang="es-CO"/>
            <a:t>° Almacenar en recipiente hermético, seco y oscuro. </a:t>
          </a:r>
        </a:p>
        <a:p>
          <a:r>
            <a:rPr lang="es-CO" b="1"/>
            <a:t>TIEMPOS:</a:t>
          </a:r>
        </a:p>
        <a:p>
          <a:r>
            <a:rPr lang="es-CO"/>
            <a:t>Preparación: 10–15 min </a:t>
          </a:r>
        </a:p>
        <a:p>
          <a:r>
            <a:rPr lang="es-CO" b="1"/>
            <a:t>OBSERVACIONES:</a:t>
          </a:r>
        </a:p>
        <a:p>
          <a:r>
            <a:rPr lang="es-CO"/>
            <a:t> - No agregar agua al lote completo (solo al momento de usar). </a:t>
          </a:r>
        </a:p>
        <a:p>
          <a:r>
            <a:rPr lang="es-CO"/>
            <a:t> - Vida útil: </a:t>
          </a:r>
          <a:r>
            <a:rPr lang="es-CO" baseline="0"/>
            <a:t> </a:t>
          </a:r>
          <a:r>
            <a:rPr lang="es-CO"/>
            <a:t>1–2 meses en envase hermético </a:t>
          </a:r>
        </a:p>
        <a:p>
          <a:r>
            <a:rPr lang="es-CO" baseline="0"/>
            <a:t> - </a:t>
          </a:r>
          <a:r>
            <a:rPr lang="es-CO"/>
            <a:t>Evitar humedad (daña textura y sabor). </a:t>
          </a:r>
        </a:p>
        <a:p>
          <a:r>
            <a:rPr lang="es-CO"/>
            <a:t> - Puedes ajustar sal dependiendo de la salsa final.</a:t>
          </a:r>
        </a:p>
        <a:p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309562</xdr:colOff>
      <xdr:row>3</xdr:row>
      <xdr:rowOff>79374</xdr:rowOff>
    </xdr:from>
    <xdr:to>
      <xdr:col>13</xdr:col>
      <xdr:colOff>436562</xdr:colOff>
      <xdr:row>25</xdr:row>
      <xdr:rowOff>31749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4B84E37-F26F-4B14-B4D3-E323EDC9BFBA}"/>
            </a:ext>
          </a:extLst>
        </xdr:cNvPr>
        <xdr:cNvSpPr txBox="1"/>
      </xdr:nvSpPr>
      <xdr:spPr>
        <a:xfrm>
          <a:off x="8715375" y="627062"/>
          <a:ext cx="3937000" cy="404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Mezclar el adobo seco con el agua hasta formar una pasta ligera. </a:t>
          </a:r>
        </a:p>
        <a:p>
          <a:r>
            <a:rPr lang="es-CO"/>
            <a:t>° Incorporar las alitas y mezclar hasta cubrir completamente. </a:t>
          </a:r>
        </a:p>
        <a:p>
          <a:r>
            <a:rPr lang="es-CO"/>
            <a:t>° Dejar reposar 10–15 minutos</a:t>
          </a:r>
          <a:r>
            <a:rPr lang="es-CO" baseline="0"/>
            <a:t> (lo ideal seria dejar marinando toda una noche)</a:t>
          </a:r>
          <a:endParaRPr lang="es-CO"/>
        </a:p>
        <a:p>
          <a:r>
            <a:rPr lang="es-CO"/>
            <a:t>° Mezclar harina y maicena en proporciones</a:t>
          </a:r>
          <a:r>
            <a:rPr lang="es-CO" baseline="0"/>
            <a:t> iguales</a:t>
          </a:r>
          <a:endParaRPr lang="es-CO"/>
        </a:p>
        <a:p>
          <a:r>
            <a:rPr lang="es-CO"/>
            <a:t>° Empanizar las alitas asegurando cobertura uniforme</a:t>
          </a:r>
        </a:p>
        <a:p>
          <a:r>
            <a:rPr lang="es-CO"/>
            <a:t>°</a:t>
          </a:r>
          <a:r>
            <a:rPr lang="es-CO" baseline="0"/>
            <a:t> Pasar las alitas por agua rapidamente y de vuelta al empanizado</a:t>
          </a:r>
          <a:endParaRPr lang="es-CO"/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Freír en abundante aceite a </a:t>
          </a:r>
          <a:r>
            <a:rPr lang="es-CO" b="1"/>
            <a:t>170–180 °C durante 10</a:t>
          </a:r>
          <a:r>
            <a:rPr lang="es-CO" b="1" baseline="0"/>
            <a:t> - 13</a:t>
          </a:r>
          <a:r>
            <a:rPr lang="es-CO" b="1"/>
            <a:t> minutos</a:t>
          </a:r>
          <a:r>
            <a:rPr lang="es-CO"/>
            <a:t>. </a:t>
          </a:r>
        </a:p>
        <a:p>
          <a:r>
            <a:rPr lang="es-CO"/>
            <a:t>° Retirar y escurrir exceso de grasa. </a:t>
          </a:r>
        </a:p>
        <a:p>
          <a:r>
            <a:rPr lang="es-CO"/>
            <a:t>° Pasar a salseado según pedido. </a:t>
          </a:r>
        </a:p>
        <a:p>
          <a:r>
            <a:rPr lang="es-CO" b="1"/>
            <a:t>TIEMPOS:</a:t>
          </a:r>
        </a:p>
        <a:p>
          <a:r>
            <a:rPr lang="es-CO"/>
            <a:t>Preparación: 15 min </a:t>
          </a:r>
        </a:p>
        <a:p>
          <a:r>
            <a:rPr lang="es-CO"/>
            <a:t>Cocción: 10 min </a:t>
          </a:r>
        </a:p>
        <a:p>
          <a:r>
            <a:rPr lang="es-CO"/>
            <a:t>Total: 25 min </a:t>
          </a:r>
        </a:p>
        <a:p>
          <a:r>
            <a:rPr lang="es-CO" b="1"/>
            <a:t>OBSERVACIONES:</a:t>
          </a:r>
        </a:p>
        <a:p>
          <a:r>
            <a:rPr lang="es-CO"/>
            <a:t>- No exceder el agua del adobo (afecta el empanizado). </a:t>
          </a:r>
        </a:p>
        <a:p>
          <a:r>
            <a:rPr lang="es-CO"/>
            <a:t>- Mantener temperatura constante del aceite para crocancia. </a:t>
          </a:r>
        </a:p>
        <a:p>
          <a:r>
            <a:rPr lang="es-CO"/>
            <a:t>- No sobrecargar la freidora. </a:t>
          </a:r>
        </a:p>
        <a:p>
          <a:r>
            <a:rPr lang="es-CO"/>
            <a:t>- Producto base neutro listo para cualquier salsa. </a:t>
          </a:r>
        </a:p>
        <a:p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42335</xdr:colOff>
      <xdr:row>3</xdr:row>
      <xdr:rowOff>42333</xdr:rowOff>
    </xdr:from>
    <xdr:to>
      <xdr:col>11</xdr:col>
      <xdr:colOff>349251</xdr:colOff>
      <xdr:row>12</xdr:row>
      <xdr:rowOff>169333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30D3FFC-EF77-4808-BBE2-1630C8A6AC19}"/>
            </a:ext>
          </a:extLst>
        </xdr:cNvPr>
        <xdr:cNvSpPr txBox="1"/>
      </xdr:nvSpPr>
      <xdr:spPr>
        <a:xfrm>
          <a:off x="9493252" y="582083"/>
          <a:ext cx="2592916" cy="184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Derretir la mantequilla a fuego bajo. </a:t>
          </a:r>
        </a:p>
        <a:p>
          <a:r>
            <a:rPr lang="es-CO"/>
            <a:t>° Agregar la miel y mezclar. </a:t>
          </a:r>
        </a:p>
        <a:p>
          <a:r>
            <a:rPr lang="es-CO"/>
            <a:t>° Incorporar el lemon pepper. </a:t>
          </a:r>
        </a:p>
        <a:p>
          <a:r>
            <a:rPr lang="es-CO"/>
            <a:t>° Mezclar hasta integrar completamente. </a:t>
          </a:r>
        </a:p>
        <a:p>
          <a:r>
            <a:rPr lang="es-CO"/>
            <a:t>° Mantener tibia para facilitar el salseado. </a:t>
          </a:r>
          <a:r>
            <a:rPr lang="es-CO" b="1"/>
            <a:t>OBSERVACIONES:</a:t>
          </a:r>
        </a:p>
        <a:p>
          <a:r>
            <a:rPr lang="es-CO"/>
            <a:t>- No sobrecalentar (se separa la grasa). </a:t>
          </a:r>
        </a:p>
        <a:p>
          <a:r>
            <a:rPr lang="es-CO"/>
            <a:t>-</a:t>
          </a:r>
          <a:r>
            <a:rPr lang="es-CO" baseline="0"/>
            <a:t> </a:t>
          </a:r>
          <a:r>
            <a:rPr lang="es-CO"/>
            <a:t>Mezclar antes de usar</a:t>
          </a:r>
        </a:p>
        <a:p>
          <a:r>
            <a:rPr lang="es-CO"/>
            <a:t>-  </a:t>
          </a:r>
          <a:r>
            <a:rPr lang="es-CO" b="1"/>
            <a:t>Vida util: </a:t>
          </a:r>
          <a:r>
            <a:rPr lang="es-CO" b="0"/>
            <a:t>3 a</a:t>
          </a:r>
          <a:r>
            <a:rPr lang="es-CO" b="0" baseline="0"/>
            <a:t> 5 dias en refrigeracion.</a:t>
          </a:r>
          <a:endParaRPr lang="es-CO" b="0"/>
        </a:p>
        <a:p>
          <a:endParaRPr lang="es-CO" sz="1100"/>
        </a:p>
      </xdr:txBody>
    </xdr:sp>
    <xdr:clientData/>
  </xdr:twoCellAnchor>
  <xdr:twoCellAnchor>
    <xdr:from>
      <xdr:col>8</xdr:col>
      <xdr:colOff>84667</xdr:colOff>
      <xdr:row>13</xdr:row>
      <xdr:rowOff>126999</xdr:rowOff>
    </xdr:from>
    <xdr:to>
      <xdr:col>11</xdr:col>
      <xdr:colOff>486834</xdr:colOff>
      <xdr:row>22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376659-26A3-4C9C-B172-E4C268009FED}"/>
            </a:ext>
          </a:extLst>
        </xdr:cNvPr>
        <xdr:cNvSpPr txBox="1"/>
      </xdr:nvSpPr>
      <xdr:spPr>
        <a:xfrm>
          <a:off x="9429750" y="2561166"/>
          <a:ext cx="2688167" cy="1682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Mezclar todos los ingredientes en frío. </a:t>
          </a:r>
        </a:p>
        <a:p>
          <a:r>
            <a:rPr lang="es-CO"/>
            <a:t>° Batir hasta obtener una mezcla homogénea. </a:t>
          </a:r>
        </a:p>
        <a:p>
          <a:r>
            <a:rPr lang="es-CO"/>
            <a:t>°</a:t>
          </a:r>
          <a:r>
            <a:rPr lang="es-CO" baseline="0"/>
            <a:t> R</a:t>
          </a:r>
          <a:r>
            <a:rPr lang="es-CO"/>
            <a:t>efrigerar hasta el momento de uso. </a:t>
          </a:r>
        </a:p>
        <a:p>
          <a:r>
            <a:rPr lang="es-CO" b="1"/>
            <a:t> OBSERVACIONES:</a:t>
          </a:r>
        </a:p>
        <a:p>
          <a:r>
            <a:rPr lang="es-CO"/>
            <a:t>- Mantener refrigerada. </a:t>
          </a:r>
        </a:p>
        <a:p>
          <a:r>
            <a:rPr lang="es-CO"/>
            <a:t>- Mezclar antes de usar. </a:t>
          </a:r>
        </a:p>
        <a:p>
          <a:r>
            <a:rPr lang="es-CO"/>
            <a:t>- </a:t>
          </a:r>
          <a:r>
            <a:rPr lang="es-CO" b="1"/>
            <a:t>Vida util: </a:t>
          </a:r>
          <a:r>
            <a:rPr lang="es-CO" b="0"/>
            <a:t>2</a:t>
          </a:r>
          <a:r>
            <a:rPr lang="es-CO" b="0" baseline="0"/>
            <a:t> a </a:t>
          </a:r>
          <a:r>
            <a:rPr lang="es-CO" b="0"/>
            <a:t>3 días.</a:t>
          </a:r>
        </a:p>
        <a:p>
          <a:endParaRPr lang="es-CO" sz="1100"/>
        </a:p>
      </xdr:txBody>
    </xdr:sp>
    <xdr:clientData/>
  </xdr:twoCellAnchor>
  <xdr:twoCellAnchor>
    <xdr:from>
      <xdr:col>8</xdr:col>
      <xdr:colOff>52916</xdr:colOff>
      <xdr:row>24</xdr:row>
      <xdr:rowOff>137583</xdr:rowOff>
    </xdr:from>
    <xdr:to>
      <xdr:col>11</xdr:col>
      <xdr:colOff>560916</xdr:colOff>
      <xdr:row>35</xdr:row>
      <xdr:rowOff>10582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30C6EB9-8166-4ACB-99F5-643DAD80BB0B}"/>
            </a:ext>
          </a:extLst>
        </xdr:cNvPr>
        <xdr:cNvSpPr txBox="1"/>
      </xdr:nvSpPr>
      <xdr:spPr>
        <a:xfrm>
          <a:off x="9503833" y="4646083"/>
          <a:ext cx="2794000" cy="1873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Derretir la mantequilla a fuego bajo. </a:t>
          </a:r>
        </a:p>
        <a:p>
          <a:r>
            <a:rPr lang="es-CO"/>
            <a:t>° Agregar la salsa picante, la salsa de tomate y el vinagre. </a:t>
          </a:r>
        </a:p>
        <a:p>
          <a:r>
            <a:rPr lang="es-CO"/>
            <a:t>° Incorporar las especias. </a:t>
          </a:r>
        </a:p>
        <a:p>
          <a:r>
            <a:rPr lang="es-CO"/>
            <a:t>° Mezclar sin dejar hervir. </a:t>
          </a:r>
        </a:p>
        <a:p>
          <a:r>
            <a:rPr lang="es-CO"/>
            <a:t>° Mantener tibia para servicio.</a:t>
          </a:r>
        </a:p>
        <a:p>
          <a:r>
            <a:rPr lang="es-CO" b="1"/>
            <a:t>OBSERVACIONES:</a:t>
          </a:r>
        </a:p>
        <a:p>
          <a:r>
            <a:rPr lang="es-CO"/>
            <a:t>- No hervir (pierde textura y emulsión). </a:t>
          </a:r>
        </a:p>
        <a:p>
          <a:r>
            <a:rPr lang="es-CO"/>
            <a:t>-</a:t>
          </a:r>
          <a:r>
            <a:rPr lang="es-CO" baseline="0"/>
            <a:t> </a:t>
          </a:r>
          <a:r>
            <a:rPr lang="es-CO"/>
            <a:t>Ajustar picante según necesidad</a:t>
          </a:r>
          <a:r>
            <a:rPr lang="es-CO" baseline="0"/>
            <a:t> del cliente</a:t>
          </a:r>
        </a:p>
        <a:p>
          <a:r>
            <a:rPr lang="es-CO" baseline="0"/>
            <a:t>- Vida util de 4 a 7 dias en refrigeracion. </a:t>
          </a:r>
          <a:endParaRPr lang="es-CO"/>
        </a:p>
        <a:p>
          <a:endParaRPr lang="es-CO"/>
        </a:p>
        <a:p>
          <a:endParaRPr lang="es-CO" sz="1100"/>
        </a:p>
      </xdr:txBody>
    </xdr:sp>
    <xdr:clientData/>
  </xdr:twoCellAnchor>
  <xdr:twoCellAnchor>
    <xdr:from>
      <xdr:col>8</xdr:col>
      <xdr:colOff>74083</xdr:colOff>
      <xdr:row>38</xdr:row>
      <xdr:rowOff>158750</xdr:rowOff>
    </xdr:from>
    <xdr:to>
      <xdr:col>13</xdr:col>
      <xdr:colOff>31750</xdr:colOff>
      <xdr:row>49</xdr:row>
      <xdr:rowOff>21166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A04A28-7E51-4199-8F79-4B255A7E1AF1}"/>
            </a:ext>
          </a:extLst>
        </xdr:cNvPr>
        <xdr:cNvSpPr txBox="1"/>
      </xdr:nvSpPr>
      <xdr:spPr>
        <a:xfrm>
          <a:off x="9525000" y="7281333"/>
          <a:ext cx="3767667" cy="193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Colocar en la licuadora los huevos, ajo y especias. </a:t>
          </a:r>
        </a:p>
        <a:p>
          <a:r>
            <a:rPr lang="es-CO"/>
            <a:t>° Licuar hasta integrar completamente el ajo. </a:t>
          </a:r>
        </a:p>
        <a:p>
          <a:r>
            <a:rPr lang="es-CO"/>
            <a:t>° Sin detener la licuadora, agregar el aceite en forma de hilo. </a:t>
          </a:r>
        </a:p>
        <a:p>
          <a:r>
            <a:rPr lang="es-CO"/>
            <a:t>° Continuar hasta lograr textura espesa tipo mayonesa. </a:t>
          </a:r>
        </a:p>
        <a:p>
          <a:r>
            <a:rPr lang="es-CO" b="1"/>
            <a:t>OBSERVACIONES:</a:t>
          </a:r>
        </a:p>
        <a:p>
          <a:r>
            <a:rPr lang="es-CO"/>
            <a:t>- Agregar el aceite lentamente para lograr emulsión. </a:t>
          </a:r>
        </a:p>
        <a:p>
          <a:r>
            <a:rPr lang="es-CO"/>
            <a:t>- Si se corta, ajustar con un poco más de huevo o aceite.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74083</xdr:colOff>
      <xdr:row>50</xdr:row>
      <xdr:rowOff>158750</xdr:rowOff>
    </xdr:from>
    <xdr:to>
      <xdr:col>13</xdr:col>
      <xdr:colOff>10583</xdr:colOff>
      <xdr:row>61</xdr:row>
      <xdr:rowOff>158750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40130AD-E107-4838-A1DC-D38132445BE1}"/>
            </a:ext>
          </a:extLst>
        </xdr:cNvPr>
        <xdr:cNvSpPr txBox="1"/>
      </xdr:nvSpPr>
      <xdr:spPr>
        <a:xfrm>
          <a:off x="9821333" y="9823450"/>
          <a:ext cx="3746500" cy="220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Colocar la mayonesa de ajo en un bowl. </a:t>
          </a:r>
        </a:p>
        <a:p>
          <a:r>
            <a:rPr lang="es-CO"/>
            <a:t> Agregar BBQ, mostaza, vinagre, miel y salsa inglesa. </a:t>
          </a:r>
        </a:p>
        <a:p>
          <a:r>
            <a:rPr lang="es-CO"/>
            <a:t>° Mezclar hasta obtener una salsa homogénea. </a:t>
          </a:r>
        </a:p>
        <a:p>
          <a:r>
            <a:rPr lang="es-CO"/>
            <a:t>°Ajustar sabor si es necesario. </a:t>
          </a:r>
        </a:p>
        <a:p>
          <a:r>
            <a:rPr lang="es-CO"/>
            <a:t>°Llevar a recipiente o salsero. </a:t>
          </a:r>
        </a:p>
        <a:p>
          <a:r>
            <a:rPr lang="es-CO" b="1"/>
            <a:t>OBSERVACIONES:</a:t>
          </a:r>
        </a:p>
        <a:p>
          <a:r>
            <a:rPr lang="es-CO"/>
            <a:t>- Mantener refrigerada (0–4 °C). </a:t>
          </a:r>
        </a:p>
        <a:p>
          <a:r>
            <a:rPr lang="es-CO"/>
            <a:t>-</a:t>
          </a:r>
          <a:r>
            <a:rPr lang="es-CO" baseline="0"/>
            <a:t> </a:t>
          </a:r>
          <a:r>
            <a:rPr lang="es-CO"/>
            <a:t>No dejar a temperatura ambiente por tiempos prolongados.</a:t>
          </a:r>
        </a:p>
        <a:p>
          <a:r>
            <a:rPr lang="es-CO" b="1"/>
            <a:t>-</a:t>
          </a:r>
          <a:r>
            <a:rPr lang="es-CO" b="1" baseline="0"/>
            <a:t> Vida util: </a:t>
          </a:r>
          <a:r>
            <a:rPr lang="es-CO" b="0"/>
            <a:t>2–3 días refrigerada</a:t>
          </a:r>
        </a:p>
        <a:p>
          <a:endParaRPr lang="es-CO" sz="1100"/>
        </a:p>
      </xdr:txBody>
    </xdr:sp>
    <xdr:clientData/>
  </xdr:twoCellAnchor>
  <xdr:twoCellAnchor>
    <xdr:from>
      <xdr:col>8</xdr:col>
      <xdr:colOff>42333</xdr:colOff>
      <xdr:row>64</xdr:row>
      <xdr:rowOff>42333</xdr:rowOff>
    </xdr:from>
    <xdr:to>
      <xdr:col>13</xdr:col>
      <xdr:colOff>0</xdr:colOff>
      <xdr:row>77</xdr:row>
      <xdr:rowOff>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0BDC467-6EDE-4B6B-81B1-9C16D9A8AB56}"/>
            </a:ext>
          </a:extLst>
        </xdr:cNvPr>
        <xdr:cNvSpPr txBox="1"/>
      </xdr:nvSpPr>
      <xdr:spPr>
        <a:xfrm>
          <a:off x="9779000" y="12033250"/>
          <a:ext cx="3767667" cy="2391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Lavar y cortar el tomate en cubos pequeños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Picar finamente la cebolla.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Picar el cilantro finamente. </a:t>
          </a:r>
        </a:p>
        <a:p>
          <a:r>
            <a:rPr lang="es-CO"/>
            <a:t>° Mezclar todos los ingredientes en un bowl. </a:t>
          </a:r>
        </a:p>
        <a:p>
          <a:r>
            <a:rPr lang="es-CO"/>
            <a:t>° Agregar jugo de limón, sal y pimienta. </a:t>
          </a:r>
        </a:p>
        <a:p>
          <a:r>
            <a:rPr lang="es-CO"/>
            <a:t>° Mezclar suavemente para no deshacer el tomate. </a:t>
          </a:r>
        </a:p>
        <a:p>
          <a:r>
            <a:rPr lang="es-CO" b="1"/>
            <a:t> TIEMPOS:</a:t>
          </a:r>
        </a:p>
        <a:p>
          <a:r>
            <a:rPr lang="es-CO"/>
            <a:t>Preparación: 10 min </a:t>
          </a:r>
        </a:p>
        <a:p>
          <a:r>
            <a:rPr lang="es-CO" b="1"/>
            <a:t>OBSERVACIONES:</a:t>
          </a:r>
        </a:p>
        <a:p>
          <a:r>
            <a:rPr lang="es-CO"/>
            <a:t>- Usar tomate firme para evitar exceso de líquido. </a:t>
          </a:r>
        </a:p>
        <a:p>
          <a:r>
            <a:rPr lang="es-CO"/>
            <a:t>- Ajustar limón y sal al final. </a:t>
          </a:r>
        </a:p>
        <a:p>
          <a:r>
            <a:rPr lang="es-CO"/>
            <a:t>- Mantener refrigerado.</a:t>
          </a:r>
        </a:p>
        <a:p>
          <a:endParaRPr lang="es-CO" sz="1100"/>
        </a:p>
      </xdr:txBody>
    </xdr:sp>
    <xdr:clientData/>
  </xdr:twoCellAnchor>
  <xdr:twoCellAnchor>
    <xdr:from>
      <xdr:col>8</xdr:col>
      <xdr:colOff>63500</xdr:colOff>
      <xdr:row>79</xdr:row>
      <xdr:rowOff>95250</xdr:rowOff>
    </xdr:from>
    <xdr:to>
      <xdr:col>12</xdr:col>
      <xdr:colOff>677333</xdr:colOff>
      <xdr:row>95</xdr:row>
      <xdr:rowOff>52917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17FCAEE-590B-43CE-BD02-7D7A9DF7C8A4}"/>
            </a:ext>
          </a:extLst>
        </xdr:cNvPr>
        <xdr:cNvSpPr txBox="1"/>
      </xdr:nvSpPr>
      <xdr:spPr>
        <a:xfrm>
          <a:off x="9800167" y="14880167"/>
          <a:ext cx="3661833" cy="2931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 y retirar la semilla del aguacate. </a:t>
          </a:r>
        </a:p>
        <a:p>
          <a:r>
            <a:rPr lang="es-CO"/>
            <a:t>° Triturar con tenedor hasta lograr textura cremosa (no totalmente lisa). </a:t>
          </a:r>
        </a:p>
        <a:p>
          <a:r>
            <a:rPr lang="es-CO"/>
            <a:t>° Picar finamente la cebolla y el cilantro.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Incorporar al aguacate. </a:t>
          </a:r>
        </a:p>
        <a:p>
          <a:r>
            <a:rPr lang="es-CO"/>
            <a:t>° Agregar jugo de limón, sal y pimienta. </a:t>
          </a:r>
        </a:p>
        <a:p>
          <a:r>
            <a:rPr lang="es-CO"/>
            <a:t>° Mezclar suavemente hasta integrar. </a:t>
          </a:r>
        </a:p>
        <a:p>
          <a:r>
            <a:rPr lang="es-CO"/>
            <a:t>° Ajustar sazón al final. </a:t>
          </a:r>
        </a:p>
        <a:p>
          <a:r>
            <a:rPr lang="es-CO" b="1"/>
            <a:t> TIEMPOS:</a:t>
          </a:r>
        </a:p>
        <a:p>
          <a:r>
            <a:rPr lang="es-CO"/>
            <a:t>Preparación: 8–10 min </a:t>
          </a:r>
        </a:p>
        <a:p>
          <a:r>
            <a:rPr lang="es-CO" b="1"/>
            <a:t>OBSERVACIONES:</a:t>
          </a:r>
        </a:p>
        <a:p>
          <a:r>
            <a:rPr lang="es-CO"/>
            <a:t>- Usar aguacate en punto (ni muy duro ni pasado). </a:t>
          </a:r>
        </a:p>
        <a:p>
          <a:r>
            <a:rPr lang="es-CO"/>
            <a:t>- No sobreprocesar (debe quedar con textura). </a:t>
          </a:r>
        </a:p>
        <a:p>
          <a:r>
            <a:rPr lang="es-CO"/>
            <a:t>- El limón ayuda a evitar oxidación. </a:t>
          </a:r>
        </a:p>
        <a:p>
          <a:r>
            <a:rPr lang="es-CO"/>
            <a:t>- Mantener cubierto y refrigerado.</a:t>
          </a:r>
        </a:p>
        <a:p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60477</xdr:colOff>
      <xdr:row>1</xdr:row>
      <xdr:rowOff>151190</xdr:rowOff>
    </xdr:from>
    <xdr:to>
      <xdr:col>13</xdr:col>
      <xdr:colOff>393096</xdr:colOff>
      <xdr:row>18</xdr:row>
      <xdr:rowOff>18405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9F4DCE7-9828-455B-A948-113D4A83B544}"/>
            </a:ext>
          </a:extLst>
        </xdr:cNvPr>
        <xdr:cNvSpPr txBox="1"/>
      </xdr:nvSpPr>
      <xdr:spPr>
        <a:xfrm>
          <a:off x="10570187" y="335248"/>
          <a:ext cx="4151822" cy="31250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el pollo en cubos y sazonar con sal y pimienta. </a:t>
          </a:r>
        </a:p>
        <a:p>
          <a:r>
            <a:rPr lang="es-CO"/>
            <a:t>° Sellar en sartén caliente con aceite hasta dorar completamente. </a:t>
          </a:r>
        </a:p>
        <a:p>
          <a:r>
            <a:rPr lang="es-CO"/>
            <a:t>Retirar y reservar. </a:t>
          </a:r>
        </a:p>
        <a:p>
          <a:r>
            <a:rPr lang="es-CO"/>
            <a:t>° En la misma sartén, sofreír la cebolla finamente picada. </a:t>
          </a:r>
        </a:p>
        <a:p>
          <a:r>
            <a:rPr lang="es-CO"/>
            <a:t>° Agregar los champiñones en rodajas y cocinar 3–4 minutos. </a:t>
          </a:r>
        </a:p>
        <a:p>
          <a:r>
            <a:rPr lang="es-CO"/>
            <a:t>° Incorporar nuevamente el pollo. </a:t>
          </a:r>
        </a:p>
        <a:p>
          <a:r>
            <a:rPr lang="es-CO"/>
            <a:t>° Desglasar con vino blanco. </a:t>
          </a:r>
        </a:p>
        <a:p>
          <a:r>
            <a:rPr lang="es-CO"/>
            <a:t>° Cocinar 4–5 minutos hasta evaporar el alcohol. </a:t>
          </a:r>
        </a:p>
        <a:p>
          <a:r>
            <a:rPr lang="es-CO"/>
            <a:t>° Agregar la crema de leche. </a:t>
          </a:r>
        </a:p>
        <a:p>
          <a:r>
            <a:rPr lang="es-CO"/>
            <a:t>° Cocinar hasta obtener una salsa cremosa. </a:t>
          </a:r>
          <a:endParaRPr lang="es-CO" baseline="0"/>
        </a:p>
        <a:p>
          <a:r>
            <a:rPr lang="es-CO" b="1"/>
            <a:t> TIEMPOS:</a:t>
          </a:r>
        </a:p>
        <a:p>
          <a:r>
            <a:rPr lang="es-CO"/>
            <a:t>Preparación: 10 min </a:t>
          </a:r>
        </a:p>
        <a:p>
          <a:r>
            <a:rPr lang="es-CO"/>
            <a:t>Cocción: 15 min </a:t>
          </a:r>
        </a:p>
        <a:p>
          <a:r>
            <a:rPr lang="es-CO" b="1"/>
            <a:t>OBSERVACIONES:</a:t>
          </a:r>
        </a:p>
        <a:p>
          <a:r>
            <a:rPr lang="es-CO"/>
            <a:t>- El pollo debe quedar completamente cocido. </a:t>
          </a:r>
        </a:p>
        <a:p>
          <a:r>
            <a:rPr lang="es-CO"/>
            <a:t>- No sobrecargar la sartén. </a:t>
          </a:r>
        </a:p>
        <a:p>
          <a:r>
            <a:rPr lang="es-CO"/>
            <a:t>- Reducir bien el vino antes de agregar la crema.</a:t>
          </a:r>
        </a:p>
        <a:p>
          <a:endParaRPr lang="es-CO" sz="1100"/>
        </a:p>
      </xdr:txBody>
    </xdr:sp>
    <xdr:clientData/>
  </xdr:twoCellAnchor>
  <xdr:twoCellAnchor>
    <xdr:from>
      <xdr:col>8</xdr:col>
      <xdr:colOff>51272</xdr:colOff>
      <xdr:row>19</xdr:row>
      <xdr:rowOff>4820</xdr:rowOff>
    </xdr:from>
    <xdr:to>
      <xdr:col>12</xdr:col>
      <xdr:colOff>696352</xdr:colOff>
      <xdr:row>37</xdr:row>
      <xdr:rowOff>174625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59BE6CA-D0AB-41B8-BCF8-29ED908FB95A}"/>
            </a:ext>
          </a:extLst>
        </xdr:cNvPr>
        <xdr:cNvSpPr txBox="1"/>
      </xdr:nvSpPr>
      <xdr:spPr>
        <a:xfrm>
          <a:off x="10560522" y="3719570"/>
          <a:ext cx="3693080" cy="36940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</a:t>
          </a:r>
          <a:r>
            <a:rPr lang="es-CO" baseline="0"/>
            <a:t> C</a:t>
          </a:r>
          <a:r>
            <a:rPr lang="es-CO"/>
            <a:t>ortar la carne en tiras y sazonar con sal y pimienta. </a:t>
          </a:r>
        </a:p>
        <a:p>
          <a:r>
            <a:rPr lang="es-CO"/>
            <a:t>° Sellar en sartén caliente con aceite</a:t>
          </a:r>
          <a:r>
            <a:rPr lang="es-CO" baseline="0"/>
            <a:t> por 3 minutos.</a:t>
          </a:r>
          <a:endParaRPr lang="es-CO"/>
        </a:p>
        <a:p>
          <a:r>
            <a:rPr lang="es-CO"/>
            <a:t>° Retirar y reservar. </a:t>
          </a:r>
        </a:p>
        <a:p>
          <a:r>
            <a:rPr lang="es-CO"/>
            <a:t>° En la misma sartén, sofreír la cebolla. </a:t>
          </a:r>
        </a:p>
        <a:p>
          <a:r>
            <a:rPr lang="es-CO"/>
            <a:t>° Agregar los champiñones y cocinar 3–4 minutos. </a:t>
          </a:r>
        </a:p>
        <a:p>
          <a:r>
            <a:rPr lang="es-CO"/>
            <a:t>° Incorporar nuevamente la carne. </a:t>
          </a:r>
        </a:p>
        <a:p>
          <a:r>
            <a:rPr lang="es-CO"/>
            <a:t>° Desglasar con vino blanco. </a:t>
          </a:r>
        </a:p>
        <a:p>
          <a:r>
            <a:rPr lang="es-CO"/>
            <a:t>° Cocinar hasta evaporar el alcohol (3–4 min). </a:t>
          </a:r>
        </a:p>
        <a:p>
          <a:r>
            <a:rPr lang="es-CO"/>
            <a:t>° Agregar la crema de leche. </a:t>
          </a:r>
        </a:p>
        <a:p>
          <a:r>
            <a:rPr lang="es-CO"/>
            <a:t>° Cocinar brevemente hasta integrar. </a:t>
          </a:r>
        </a:p>
        <a:p>
          <a:r>
            <a:rPr lang="es-CO" b="1"/>
            <a:t>TIEMPOS:</a:t>
          </a:r>
        </a:p>
        <a:p>
          <a:r>
            <a:rPr lang="es-CO"/>
            <a:t>Preparación: 10 min </a:t>
          </a:r>
        </a:p>
        <a:p>
          <a:r>
            <a:rPr lang="es-CO"/>
            <a:t>Cocción: 10 min </a:t>
          </a:r>
        </a:p>
        <a:p>
          <a:r>
            <a:rPr lang="es-CO"/>
            <a:t>Total: 20 min </a:t>
          </a:r>
        </a:p>
        <a:p>
          <a:r>
            <a:rPr lang="es-CO" b="1"/>
            <a:t>OBSERVACIONES:</a:t>
          </a:r>
        </a:p>
        <a:p>
          <a:r>
            <a:rPr lang="es-CO"/>
            <a:t>- No sobrecocinar la carne (se endurece). </a:t>
          </a:r>
        </a:p>
        <a:p>
          <a:r>
            <a:rPr lang="es-CO"/>
            <a:t>- Sellado rápido para mantener jugosidad. </a:t>
          </a:r>
        </a:p>
        <a:p>
          <a:r>
            <a:rPr lang="es-CO"/>
            <a:t>- Reducir el vino antes de agregar la crema. </a:t>
          </a:r>
          <a:br>
            <a:rPr lang="es-CO"/>
          </a:br>
          <a:r>
            <a:rPr lang="es-CO"/>
            <a:t>- no recalentar demasiado ya</a:t>
          </a:r>
          <a:r>
            <a:rPr lang="es-CO" baseline="0"/>
            <a:t> que la crema de leche se separaria.</a:t>
          </a:r>
          <a:endParaRPr lang="es-CO"/>
        </a:p>
        <a:p>
          <a:endParaRPr lang="es-CO" sz="1100"/>
        </a:p>
      </xdr:txBody>
    </xdr:sp>
    <xdr:clientData/>
  </xdr:twoCellAnchor>
  <xdr:twoCellAnchor>
    <xdr:from>
      <xdr:col>8</xdr:col>
      <xdr:colOff>58964</xdr:colOff>
      <xdr:row>39</xdr:row>
      <xdr:rowOff>108102</xdr:rowOff>
    </xdr:from>
    <xdr:to>
      <xdr:col>12</xdr:col>
      <xdr:colOff>522615</xdr:colOff>
      <xdr:row>56</xdr:row>
      <xdr:rowOff>118182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FD3EA2D-0B8B-46C9-B9C7-C4C740C32BD0}"/>
            </a:ext>
          </a:extLst>
        </xdr:cNvPr>
        <xdr:cNvSpPr txBox="1"/>
      </xdr:nvSpPr>
      <xdr:spPr>
        <a:xfrm>
          <a:off x="10568214" y="7728102"/>
          <a:ext cx="3511651" cy="3343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Colocar la carne de hamburguesa en sartén caliente con un poco de aceite. </a:t>
          </a:r>
        </a:p>
        <a:p>
          <a:r>
            <a:rPr lang="es-CO"/>
            <a:t>° Cocinar y desmenuzar hasta que esté bien dorada. </a:t>
          </a:r>
        </a:p>
        <a:p>
          <a:r>
            <a:rPr lang="es-CO"/>
            <a:t>° Agregar el maíz directamente (sin descongelar). </a:t>
          </a:r>
        </a:p>
        <a:p>
          <a:r>
            <a:rPr lang="es-CO"/>
            <a:t>° Mezclar y cocinar 2–3 minutos. </a:t>
          </a:r>
        </a:p>
        <a:p>
          <a:r>
            <a:rPr lang="es-CO"/>
            <a:t>° Incorporar la salsa búfalo. </a:t>
          </a:r>
        </a:p>
        <a:p>
          <a:r>
            <a:rPr lang="es-CO"/>
            <a:t>° Mezclar bien y cocinar 1–2 minutos más. </a:t>
          </a:r>
        </a:p>
        <a:p>
          <a:r>
            <a:rPr lang="es-CO"/>
            <a:t>° Rectificar sal y pimienta. </a:t>
          </a:r>
        </a:p>
        <a:p>
          <a:r>
            <a:rPr lang="es-CO"/>
            <a:t>° Retirar y usar como relleno. </a:t>
          </a:r>
        </a:p>
        <a:p>
          <a:r>
            <a:rPr lang="es-CO" b="1"/>
            <a:t>TIEMPOS:</a:t>
          </a:r>
        </a:p>
        <a:p>
          <a:r>
            <a:rPr lang="es-CO"/>
            <a:t>Preparación: 5 min </a:t>
          </a:r>
        </a:p>
        <a:p>
          <a:r>
            <a:rPr lang="es-CO"/>
            <a:t>Cocción: 8–10 min </a:t>
          </a:r>
        </a:p>
        <a:p>
          <a:r>
            <a:rPr lang="es-CO"/>
            <a:t>Total: 10–12 min </a:t>
          </a:r>
        </a:p>
        <a:p>
          <a:r>
            <a:rPr lang="es-CO" b="1"/>
            <a:t>OBSERVACIONES: </a:t>
          </a:r>
        </a:p>
        <a:p>
          <a:r>
            <a:rPr lang="es-CO"/>
            <a:t>- Cocinar bien la carne (no debe quedar cruda). </a:t>
          </a:r>
        </a:p>
        <a:p>
          <a:r>
            <a:rPr lang="es-CO"/>
            <a:t>- No agregar demasiado líquido para evitar que el relleno quede aguado.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40317</xdr:colOff>
      <xdr:row>57</xdr:row>
      <xdr:rowOff>80635</xdr:rowOff>
    </xdr:from>
    <xdr:to>
      <xdr:col>12</xdr:col>
      <xdr:colOff>614841</xdr:colOff>
      <xdr:row>72</xdr:row>
      <xdr:rowOff>151190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58B05CF-5F1F-4A38-BB9C-1F7223979A3A}"/>
            </a:ext>
          </a:extLst>
        </xdr:cNvPr>
        <xdr:cNvSpPr txBox="1"/>
      </xdr:nvSpPr>
      <xdr:spPr>
        <a:xfrm>
          <a:off x="9343571" y="11238492"/>
          <a:ext cx="3638651" cy="28826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Escurrir bien el atún para eliminar el exceso de líquido. </a:t>
          </a:r>
        </a:p>
        <a:p>
          <a:r>
            <a:rPr lang="es-CO"/>
            <a:t>° Picar finamente la cebolla morada y el cilantro. </a:t>
          </a:r>
        </a:p>
        <a:p>
          <a:r>
            <a:rPr lang="es-CO"/>
            <a:t>° En un bowl, mezclar el atún, cebolla, maíz y cilantro. </a:t>
          </a:r>
        </a:p>
        <a:p>
          <a:r>
            <a:rPr lang="es-CO"/>
            <a:t>° Agregar la mayonesa, mostaza y queso crema. </a:t>
          </a:r>
        </a:p>
        <a:p>
          <a:r>
            <a:rPr lang="es-CO"/>
            <a:t>° Incorporar el sazonatodo. </a:t>
          </a:r>
        </a:p>
        <a:p>
          <a:r>
            <a:rPr lang="es-CO"/>
            <a:t>° Mezclar todo hasta lograr una preparación homogénea. </a:t>
          </a:r>
        </a:p>
        <a:p>
          <a:r>
            <a:rPr lang="es-CO" b="1"/>
            <a:t>TIEMPOS:</a:t>
          </a:r>
        </a:p>
        <a:p>
          <a:r>
            <a:rPr lang="es-CO"/>
            <a:t>Preparación: 8–10 min </a:t>
          </a:r>
        </a:p>
        <a:p>
          <a:r>
            <a:rPr lang="es-CO" b="1"/>
            <a:t>OBSERVACIONES:</a:t>
          </a:r>
        </a:p>
        <a:p>
          <a:r>
            <a:rPr lang="es-CO"/>
            <a:t>- Asegúrate de escurrir bien el atún para evitar exceso de humedad. </a:t>
          </a:r>
        </a:p>
        <a:p>
          <a:r>
            <a:rPr lang="es-CO"/>
            <a:t>- Mezclar las salsas en proporción para que la consistencia sea cremosa, pero no líquida. </a:t>
          </a:r>
        </a:p>
        <a:p>
          <a:r>
            <a:rPr lang="es-CO"/>
            <a:t>- Ajustar sal o sazonatodo al gusto, según la marca del atún. </a:t>
          </a:r>
        </a:p>
        <a:p>
          <a:r>
            <a:rPr lang="es-CO"/>
            <a:t>- Tiene</a:t>
          </a:r>
          <a:r>
            <a:rPr lang="es-CO" baseline="0"/>
            <a:t> de </a:t>
          </a:r>
          <a:r>
            <a:rPr lang="es-CO"/>
            <a:t>1–2 días refrigerado (0–4 °C).</a:t>
          </a:r>
        </a:p>
        <a:p>
          <a:endParaRPr lang="es-CO" sz="1100"/>
        </a:p>
      </xdr:txBody>
    </xdr:sp>
    <xdr:clientData/>
  </xdr:twoCellAnchor>
  <xdr:twoCellAnchor>
    <xdr:from>
      <xdr:col>8</xdr:col>
      <xdr:colOff>90714</xdr:colOff>
      <xdr:row>75</xdr:row>
      <xdr:rowOff>90714</xdr:rowOff>
    </xdr:from>
    <xdr:to>
      <xdr:col>12</xdr:col>
      <xdr:colOff>645079</xdr:colOff>
      <xdr:row>89</xdr:row>
      <xdr:rowOff>161269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AE90AA5-60EC-4E8B-BF98-E05751708ECB}"/>
            </a:ext>
          </a:extLst>
        </xdr:cNvPr>
        <xdr:cNvSpPr txBox="1"/>
      </xdr:nvSpPr>
      <xdr:spPr>
        <a:xfrm>
          <a:off x="9393968" y="14605000"/>
          <a:ext cx="3618492" cy="28826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Cortar finamente los repollos en tiras. </a:t>
          </a:r>
        </a:p>
        <a:p>
          <a:r>
            <a:rPr lang="es-CO"/>
            <a:t>° Rallar la zanahoria. </a:t>
          </a:r>
        </a:p>
        <a:p>
          <a:r>
            <a:rPr lang="es-CO"/>
            <a:t>° Cortar la manzana en juliana. </a:t>
          </a:r>
        </a:p>
        <a:p>
          <a:r>
            <a:rPr lang="es-CO"/>
            <a:t>° Mezclar todos los vegetales en un bowl. </a:t>
          </a:r>
        </a:p>
        <a:p>
          <a:r>
            <a:rPr lang="es-CO"/>
            <a:t> Agregar mayonesa, vinagre, mostaza, miel y crema de leche. </a:t>
          </a:r>
        </a:p>
        <a:p>
          <a:r>
            <a:rPr lang="es-CO"/>
            <a:t>° Mezclar hasta integrar completamente. </a:t>
          </a:r>
        </a:p>
        <a:p>
          <a:r>
            <a:rPr lang="es-CO" b="1"/>
            <a:t> TIEMPOS:</a:t>
          </a:r>
        </a:p>
        <a:p>
          <a:r>
            <a:rPr lang="es-CO"/>
            <a:t>Preparación: 10 min </a:t>
          </a:r>
        </a:p>
        <a:p>
          <a:r>
            <a:rPr lang="es-CO"/>
            <a:t>Reposo: 20 min (recomendado) </a:t>
          </a:r>
        </a:p>
        <a:p>
          <a:r>
            <a:rPr lang="es-CO" b="1"/>
            <a:t>OBSERVACIONES:</a:t>
          </a:r>
        </a:p>
        <a:p>
          <a:r>
            <a:rPr lang="es-CO"/>
            <a:t>- Mantener refrigerado (0–4 °C). </a:t>
          </a:r>
        </a:p>
        <a:p>
          <a:r>
            <a:rPr lang="es-CO"/>
            <a:t>- Ajustar acidez/dulzor al final. </a:t>
          </a:r>
        </a:p>
        <a:p>
          <a:r>
            <a:rPr lang="es-CO"/>
            <a:t>- No dejar muy líquido (control del vinagre).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82826</xdr:colOff>
      <xdr:row>92</xdr:row>
      <xdr:rowOff>55219</xdr:rowOff>
    </xdr:from>
    <xdr:to>
      <xdr:col>12</xdr:col>
      <xdr:colOff>533769</xdr:colOff>
      <xdr:row>110</xdr:row>
      <xdr:rowOff>92030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994ECC9-6D0A-45C3-99E7-EDAB2FC39F0B}"/>
            </a:ext>
          </a:extLst>
        </xdr:cNvPr>
        <xdr:cNvSpPr txBox="1"/>
      </xdr:nvSpPr>
      <xdr:spPr>
        <a:xfrm>
          <a:off x="10592536" y="17908842"/>
          <a:ext cx="3506305" cy="3423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la pechuga en 5 filetes (≈132 g cada uno en crudo). </a:t>
          </a:r>
        </a:p>
        <a:p>
          <a:r>
            <a:rPr lang="es-CO"/>
            <a:t>° Mezclar el adobo seco con el agua hasta formar una pasta ligera. </a:t>
          </a:r>
        </a:p>
        <a:p>
          <a:r>
            <a:rPr lang="es-CO"/>
            <a:t>° Impregnar completamente los filetes con el adobo. </a:t>
          </a:r>
        </a:p>
        <a:p>
          <a:r>
            <a:rPr lang="es-CO"/>
            <a:t>° Pasar cada filete por la mezcla de harina y maicena (50/50). </a:t>
          </a:r>
        </a:p>
        <a:p>
          <a:r>
            <a:rPr lang="es-CO"/>
            <a:t>° Sumergir rápidamente en agua (solo un toque). </a:t>
          </a:r>
        </a:p>
        <a:p>
          <a:r>
            <a:rPr lang="es-CO"/>
            <a:t>° Volver a pasar por la mezcla de harina y maicena (doble apanado). </a:t>
          </a:r>
        </a:p>
        <a:p>
          <a:r>
            <a:rPr lang="es-CO"/>
            <a:t>° Freír en aceite a </a:t>
          </a:r>
          <a:r>
            <a:rPr lang="es-CO" b="1"/>
            <a:t>170–180 °C</a:t>
          </a:r>
          <a:r>
            <a:rPr lang="es-CO"/>
            <a:t> durante </a:t>
          </a:r>
          <a:r>
            <a:rPr lang="es-CO" b="1"/>
            <a:t>6–8 minutos</a:t>
          </a:r>
          <a:r>
            <a:rPr lang="es-CO"/>
            <a:t>. </a:t>
          </a:r>
        </a:p>
        <a:p>
          <a:r>
            <a:rPr lang="es-CO" b="1"/>
            <a:t>TIEMPOS:</a:t>
          </a:r>
        </a:p>
        <a:p>
          <a:r>
            <a:rPr lang="es-CO"/>
            <a:t>Preparación: 10–15 min </a:t>
          </a:r>
        </a:p>
        <a:p>
          <a:r>
            <a:rPr lang="es-CO"/>
            <a:t>Cocción: 6–8 min </a:t>
          </a:r>
        </a:p>
        <a:p>
          <a:r>
            <a:rPr lang="es-CO" b="1"/>
            <a:t>OBSERVACIONES:</a:t>
          </a:r>
        </a:p>
        <a:p>
          <a:r>
            <a:rPr lang="es-CO"/>
            <a:t>- No dejar el filete mucho tiempo en el agua (pierde adherencia). </a:t>
          </a:r>
        </a:p>
        <a:p>
          <a:r>
            <a:rPr lang="es-CO"/>
            <a:t>-</a:t>
          </a:r>
          <a:r>
            <a:rPr lang="es-CO" baseline="0"/>
            <a:t> </a:t>
          </a:r>
          <a:r>
            <a:rPr lang="es-CO"/>
            <a:t>No sobrecargar la freidora.</a:t>
          </a:r>
        </a:p>
        <a:p>
          <a:endParaRPr lang="es-CO" sz="1100"/>
        </a:p>
      </xdr:txBody>
    </xdr:sp>
    <xdr:clientData/>
  </xdr:twoCellAnchor>
  <xdr:twoCellAnchor>
    <xdr:from>
      <xdr:col>8</xdr:col>
      <xdr:colOff>110435</xdr:colOff>
      <xdr:row>112</xdr:row>
      <xdr:rowOff>101232</xdr:rowOff>
    </xdr:from>
    <xdr:to>
      <xdr:col>12</xdr:col>
      <xdr:colOff>644203</xdr:colOff>
      <xdr:row>132</xdr:row>
      <xdr:rowOff>9203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EB9575C-17F0-47C4-A6B1-56C327476209}"/>
            </a:ext>
          </a:extLst>
        </xdr:cNvPr>
        <xdr:cNvSpPr txBox="1"/>
      </xdr:nvSpPr>
      <xdr:spPr>
        <a:xfrm>
          <a:off x="10620145" y="21709638"/>
          <a:ext cx="3589130" cy="36627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Lavar el arroz hasta que el agua salga clara (opcional según estilo). </a:t>
          </a:r>
        </a:p>
        <a:p>
          <a:r>
            <a:rPr lang="es-CO"/>
            <a:t>° En una olla, calentar el aceite. </a:t>
          </a:r>
        </a:p>
        <a:p>
          <a:r>
            <a:rPr lang="es-CO"/>
            <a:t>° Agregar el arroz y nacarar</a:t>
          </a:r>
          <a:r>
            <a:rPr lang="es-CO" baseline="0"/>
            <a:t> el arroz (sofreir) hasta que veamos los granos del arroz sellados </a:t>
          </a:r>
        </a:p>
        <a:p>
          <a:r>
            <a:rPr lang="es-CO" baseline="0"/>
            <a:t>° Agregar especias, despues el agua y m</a:t>
          </a:r>
          <a:r>
            <a:rPr lang="es-CO"/>
            <a:t>ezclamos</a:t>
          </a:r>
          <a:r>
            <a:rPr lang="es-CO" baseline="0"/>
            <a:t> </a:t>
          </a:r>
          <a:r>
            <a:rPr lang="es-CO"/>
            <a:t>suavemente.</a:t>
          </a:r>
        </a:p>
        <a:p>
          <a:r>
            <a:rPr lang="es-CO"/>
            <a:t>° Cocinar a fuego medio hasta que el agua se evapore. </a:t>
          </a:r>
        </a:p>
        <a:p>
          <a:r>
            <a:rPr lang="es-CO"/>
            <a:t>° Bajar a fuego bajo, tapar y cocinar 10–15 minutos más. </a:t>
          </a:r>
        </a:p>
        <a:p>
          <a:r>
            <a:rPr lang="es-CO"/>
            <a:t>Apagar y dejar reposar 5 minutos. </a:t>
          </a:r>
        </a:p>
        <a:p>
          <a:r>
            <a:rPr lang="es-CO"/>
            <a:t>° Soltar el arroz con un tenedor antes de servir. </a:t>
          </a:r>
        </a:p>
        <a:p>
          <a:r>
            <a:rPr lang="es-CO" b="1"/>
            <a:t> TIEMPOS:</a:t>
          </a:r>
        </a:p>
        <a:p>
          <a:r>
            <a:rPr lang="es-CO"/>
            <a:t>Preparación: 5 min </a:t>
          </a:r>
        </a:p>
        <a:p>
          <a:r>
            <a:rPr lang="es-CO"/>
            <a:t>Cocción: 15–20 min </a:t>
          </a:r>
        </a:p>
        <a:p>
          <a:r>
            <a:rPr lang="es-CO"/>
            <a:t>Reposo: 5 min </a:t>
          </a:r>
        </a:p>
        <a:p>
          <a:r>
            <a:rPr lang="es-CO" b="1"/>
            <a:t>OBSERVACIONES:</a:t>
          </a:r>
        </a:p>
        <a:p>
          <a:r>
            <a:rPr lang="es-CO"/>
            <a:t>- Mantener proporción 1:2 (arroz:agua). </a:t>
          </a:r>
        </a:p>
        <a:p>
          <a:r>
            <a:rPr lang="es-CO"/>
            <a:t>- No revolver durante la cocción para evitar que se apelmace. </a:t>
          </a:r>
        </a:p>
        <a:p>
          <a:r>
            <a:rPr lang="es-CO"/>
            <a:t>- Ajustar sazonatodo según intensidad deseada. </a:t>
          </a:r>
        </a:p>
        <a:p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128841</xdr:colOff>
      <xdr:row>3</xdr:row>
      <xdr:rowOff>119637</xdr:rowOff>
    </xdr:from>
    <xdr:to>
      <xdr:col>12</xdr:col>
      <xdr:colOff>55217</xdr:colOff>
      <xdr:row>25</xdr:row>
      <xdr:rowOff>82826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906923E-06DA-432C-A3D4-FEB35B3D00F0}"/>
            </a:ext>
          </a:extLst>
        </xdr:cNvPr>
        <xdr:cNvSpPr txBox="1"/>
      </xdr:nvSpPr>
      <xdr:spPr>
        <a:xfrm>
          <a:off x="9267319" y="671811"/>
          <a:ext cx="2981739" cy="4086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Colocar todos los ingredientes en la licuadora. </a:t>
          </a:r>
        </a:p>
        <a:p>
          <a:r>
            <a:rPr lang="es-CO"/>
            <a:t>° Licuar hasta obtener una mezcla homogénea y sin grumos. </a:t>
          </a:r>
        </a:p>
        <a:p>
          <a:r>
            <a:rPr lang="es-CO"/>
            <a:t>° Dejar reposar la mezcla 10–15 minutos. </a:t>
          </a:r>
        </a:p>
        <a:p>
          <a:r>
            <a:rPr lang="es-CO"/>
            <a:t>° Calentar sartén a temperatura media. </a:t>
          </a:r>
        </a:p>
        <a:p>
          <a:r>
            <a:rPr lang="es-CO"/>
            <a:t>° Engrasar ligeramente con mantequilla. </a:t>
          </a:r>
        </a:p>
        <a:p>
          <a:r>
            <a:rPr lang="es-CO"/>
            <a:t>° Verter una porción de mezcla y distribuir de forma uniforme. </a:t>
          </a:r>
        </a:p>
        <a:p>
          <a:r>
            <a:rPr lang="es-CO"/>
            <a:t>° Cocinar 1–2 minutos por lado. </a:t>
          </a:r>
        </a:p>
        <a:p>
          <a:r>
            <a:rPr lang="es-CO"/>
            <a:t>° Reservar y repetir el proceso. </a:t>
          </a:r>
        </a:p>
        <a:p>
          <a:r>
            <a:rPr lang="es-CO" b="1"/>
            <a:t>TIEMPOS:</a:t>
          </a:r>
        </a:p>
        <a:p>
          <a:r>
            <a:rPr lang="es-CO"/>
            <a:t>Preparación: 10 min </a:t>
          </a:r>
        </a:p>
        <a:p>
          <a:r>
            <a:rPr lang="es-CO"/>
            <a:t>Reposo: 15 min </a:t>
          </a:r>
        </a:p>
        <a:p>
          <a:r>
            <a:rPr lang="es-CO"/>
            <a:t>Cocción: 20 min </a:t>
          </a:r>
        </a:p>
        <a:p>
          <a:r>
            <a:rPr lang="es-CO" b="1"/>
            <a:t>OBSERVACIONES TÉCNICAS:</a:t>
          </a:r>
        </a:p>
        <a:p>
          <a:r>
            <a:rPr lang="es-CO"/>
            <a:t>- La mezcla debe ser </a:t>
          </a:r>
          <a:r>
            <a:rPr lang="es-CO" b="1"/>
            <a:t>líquida pero con cuerpo</a:t>
          </a:r>
          <a:r>
            <a:rPr lang="es-CO"/>
            <a:t> </a:t>
          </a:r>
        </a:p>
        <a:p>
          <a:r>
            <a:rPr lang="es-CO"/>
            <a:t>- Si queda muy espesa → agregar leche </a:t>
          </a:r>
        </a:p>
        <a:p>
          <a:r>
            <a:rPr lang="es-CO"/>
            <a:t>- Si queda muy líquida → ajustar con harina </a:t>
          </a:r>
        </a:p>
        <a:p>
          <a:r>
            <a:rPr lang="es-CO"/>
            <a:t>-</a:t>
          </a:r>
          <a:r>
            <a:rPr lang="es-CO" baseline="0"/>
            <a:t> Evitar que se doren mucho ya que se parten </a:t>
          </a:r>
          <a:endParaRPr lang="es-CO"/>
        </a:p>
        <a:p>
          <a:r>
            <a:rPr lang="es-CO"/>
            <a:t>- Mantener temperatura media para evitar que se quemen </a:t>
          </a:r>
        </a:p>
        <a:p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3</xdr:row>
      <xdr:rowOff>38100</xdr:rowOff>
    </xdr:from>
    <xdr:to>
      <xdr:col>12</xdr:col>
      <xdr:colOff>152400</xdr:colOff>
      <xdr:row>10</xdr:row>
      <xdr:rowOff>177800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96C199E-A01A-4BC1-9755-75D19F24E2AC}"/>
            </a:ext>
          </a:extLst>
        </xdr:cNvPr>
        <xdr:cNvSpPr txBox="1"/>
      </xdr:nvSpPr>
      <xdr:spPr>
        <a:xfrm>
          <a:off x="9626600" y="590550"/>
          <a:ext cx="3079750" cy="150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Calentar el crepe en sartén. </a:t>
          </a:r>
        </a:p>
        <a:p>
          <a:r>
            <a:rPr lang="es-CO"/>
            <a:t>° Agregar el relleno caliente. </a:t>
          </a:r>
        </a:p>
        <a:p>
          <a:r>
            <a:rPr lang="es-CO"/>
            <a:t>° Incorporar las 2 lonjas de queso sobre el relleno. </a:t>
          </a:r>
        </a:p>
        <a:p>
          <a:r>
            <a:rPr lang="es-CO"/>
            <a:t>° Doblar en forma de triángulo. </a:t>
          </a:r>
        </a:p>
        <a:p>
          <a:r>
            <a:rPr lang="es-CO"/>
            <a:t>° Servir y agregar</a:t>
          </a:r>
          <a:r>
            <a:rPr lang="es-CO" baseline="0"/>
            <a:t> la salsa en forma de hilo al final.</a:t>
          </a:r>
          <a:endParaRPr lang="es-CO"/>
        </a:p>
        <a:p>
          <a:r>
            <a:rPr lang="es-CO" b="1"/>
            <a:t> OBSERVACIONES:</a:t>
          </a:r>
        </a:p>
        <a:p>
          <a:r>
            <a:rPr lang="es-CO"/>
            <a:t>- El queso debe fundir ligeramente (no quemarse).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64421</xdr:colOff>
      <xdr:row>13</xdr:row>
      <xdr:rowOff>119638</xdr:rowOff>
    </xdr:from>
    <xdr:to>
      <xdr:col>12</xdr:col>
      <xdr:colOff>248478</xdr:colOff>
      <xdr:row>21</xdr:row>
      <xdr:rowOff>82827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A2EBE7E-3FF5-4132-B29F-B2E17C6A2D9D}"/>
            </a:ext>
          </a:extLst>
        </xdr:cNvPr>
        <xdr:cNvSpPr txBox="1"/>
      </xdr:nvSpPr>
      <xdr:spPr>
        <a:xfrm>
          <a:off x="9561812" y="2586015"/>
          <a:ext cx="3239420" cy="1509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Calentar el crepe. </a:t>
          </a:r>
        </a:p>
        <a:p>
          <a:r>
            <a:rPr lang="es-CO"/>
            <a:t>° Agregar el relleno caliente. </a:t>
          </a:r>
        </a:p>
        <a:p>
          <a:r>
            <a:rPr lang="es-CO"/>
            <a:t>° Incorporar las</a:t>
          </a:r>
          <a:r>
            <a:rPr lang="es-CO" baseline="0"/>
            <a:t> 2 lonjas de queso sobre el relleno</a:t>
          </a:r>
          <a:endParaRPr lang="es-CO"/>
        </a:p>
        <a:p>
          <a:r>
            <a:rPr lang="es-CO"/>
            <a:t>° Doblar en triángulo.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/>
            <a:t>°</a:t>
          </a:r>
          <a:r>
            <a:rPr lang="es-CO" baseline="0"/>
            <a:t>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Servir y agregar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salsa en forma de hilo al final.</a:t>
          </a:r>
          <a:endParaRPr lang="es-CO"/>
        </a:p>
        <a:p>
          <a:r>
            <a:rPr lang="es-CO" b="1"/>
            <a:t>OBSERVACIONES:</a:t>
          </a:r>
        </a:p>
        <a:p>
          <a:r>
            <a:rPr lang="es-CO"/>
            <a:t>- No sobrecocinar la carne al recalentar.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55218</xdr:colOff>
      <xdr:row>23</xdr:row>
      <xdr:rowOff>110434</xdr:rowOff>
    </xdr:from>
    <xdr:to>
      <xdr:col>12</xdr:col>
      <xdr:colOff>165652</xdr:colOff>
      <xdr:row>31</xdr:row>
      <xdr:rowOff>82826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C7C81F7-8B2E-4552-AB85-E8D668B67181}"/>
            </a:ext>
          </a:extLst>
        </xdr:cNvPr>
        <xdr:cNvSpPr txBox="1"/>
      </xdr:nvSpPr>
      <xdr:spPr>
        <a:xfrm>
          <a:off x="9552609" y="4491014"/>
          <a:ext cx="3165797" cy="15184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Calentar el crepe. </a:t>
          </a:r>
        </a:p>
        <a:p>
          <a:r>
            <a:rPr lang="es-CO"/>
            <a:t>° Agregar el relleno caliente.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Incorporar las</a:t>
          </a:r>
          <a:r>
            <a:rPr lang="es-CO" baseline="0"/>
            <a:t> 2 lonjas de queso sobre el relleno.</a:t>
          </a:r>
          <a:endParaRPr lang="es-CO"/>
        </a:p>
        <a:p>
          <a:r>
            <a:rPr lang="es-CO"/>
            <a:t>° Doblar en triángulo.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°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Servir y agregar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salsa en forma de hilo al final.</a:t>
          </a:r>
          <a:endParaRPr lang="es-CO" b="1"/>
        </a:p>
        <a:p>
          <a:r>
            <a:rPr lang="es-CO" b="1"/>
            <a:t>OBSERVACIONES:</a:t>
          </a:r>
        </a:p>
        <a:p>
          <a:r>
            <a:rPr lang="es-CO"/>
            <a:t>- El queso equilibra el picante del relleno. </a:t>
          </a:r>
        </a:p>
        <a:p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108857</xdr:colOff>
      <xdr:row>3</xdr:row>
      <xdr:rowOff>36285</xdr:rowOff>
    </xdr:from>
    <xdr:to>
      <xdr:col>13</xdr:col>
      <xdr:colOff>408214</xdr:colOff>
      <xdr:row>17</xdr:row>
      <xdr:rowOff>90714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2F18618-A7FF-4564-ACC0-A4A4C2E67DA8}"/>
            </a:ext>
          </a:extLst>
        </xdr:cNvPr>
        <xdr:cNvSpPr txBox="1"/>
      </xdr:nvSpPr>
      <xdr:spPr>
        <a:xfrm>
          <a:off x="8663214" y="580571"/>
          <a:ext cx="4109357" cy="2685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Colocar el crepe en sartén o superficie caliente. </a:t>
          </a:r>
        </a:p>
        <a:p>
          <a:r>
            <a:rPr lang="es-CO"/>
            <a:t>° Untar la Nutella de manera uniforme.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Agregar el banano en rodajas.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Incorporar las fresas en láminas. </a:t>
          </a:r>
        </a:p>
        <a:p>
          <a:r>
            <a:rPr lang="es-CO"/>
            <a:t>° Doblar el crepe (a la mitad o en triángulo). </a:t>
          </a:r>
        </a:p>
        <a:p>
          <a:r>
            <a:rPr lang="es-CO"/>
            <a:t>° Finalizar con hilos de leche condensada y mas nutella por encima. </a:t>
          </a:r>
        </a:p>
        <a:p>
          <a:r>
            <a:rPr lang="es-CO"/>
            <a:t>° Servir inmediatamente. </a:t>
          </a:r>
        </a:p>
        <a:p>
          <a:r>
            <a:rPr lang="es-CO" b="1"/>
            <a:t>TIEMPOS:</a:t>
          </a:r>
        </a:p>
        <a:p>
          <a:r>
            <a:rPr lang="es-CO"/>
            <a:t>Preparación: 5 min </a:t>
          </a:r>
        </a:p>
        <a:p>
          <a:r>
            <a:rPr lang="es-CO"/>
            <a:t>Cocción: 2–3 min </a:t>
          </a:r>
        </a:p>
        <a:p>
          <a:r>
            <a:rPr lang="es-CO"/>
            <a:t>Total: 5–7 min </a:t>
          </a:r>
        </a:p>
        <a:p>
          <a:r>
            <a:rPr lang="es-CO" b="1"/>
            <a:t> OBSERVACIONES:</a:t>
          </a:r>
        </a:p>
        <a:p>
          <a:r>
            <a:rPr lang="es-CO"/>
            <a:t>° El crepe debe estar caliente para fundir la Nutella. </a:t>
          </a:r>
        </a:p>
        <a:p>
          <a:r>
            <a:rPr lang="es-CO"/>
            <a:t>° No sobrecargar de relleno para evitar que se rompa.</a:t>
          </a:r>
        </a:p>
        <a:p>
          <a:endParaRPr lang="es-CO" sz="1100"/>
        </a:p>
      </xdr:txBody>
    </xdr:sp>
    <xdr:clientData/>
  </xdr:twoCellAnchor>
  <xdr:twoCellAnchor>
    <xdr:from>
      <xdr:col>8</xdr:col>
      <xdr:colOff>66842</xdr:colOff>
      <xdr:row>19</xdr:row>
      <xdr:rowOff>133685</xdr:rowOff>
    </xdr:from>
    <xdr:to>
      <xdr:col>13</xdr:col>
      <xdr:colOff>445614</xdr:colOff>
      <xdr:row>37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6029586-F096-4982-B0C7-5361B6D99125}"/>
            </a:ext>
          </a:extLst>
        </xdr:cNvPr>
        <xdr:cNvSpPr txBox="1"/>
      </xdr:nvSpPr>
      <xdr:spPr>
        <a:xfrm>
          <a:off x="8667193" y="3798860"/>
          <a:ext cx="4166491" cy="34089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Mezclar la crema de leche con la ralladura de naranja y el almíbar hasta obtener una crema suave. </a:t>
          </a:r>
        </a:p>
        <a:p>
          <a:r>
            <a:rPr lang="es-CO"/>
            <a:t>° Calentar ligeramente el</a:t>
          </a:r>
          <a:r>
            <a:rPr lang="es-CO" baseline="0"/>
            <a:t> crepe (no mucho que solo no se sienta el frio de refrigeracion).</a:t>
          </a:r>
          <a:endParaRPr lang="es-CO"/>
        </a:p>
        <a:p>
          <a:r>
            <a:rPr lang="es-CO"/>
            <a:t>° Untar la crema de naranja como base. </a:t>
          </a:r>
        </a:p>
        <a:p>
          <a:r>
            <a:rPr lang="es-CO"/>
            <a:t>° Agregar el chilacuán. </a:t>
          </a:r>
        </a:p>
        <a:p>
          <a:r>
            <a:rPr lang="es-CO"/>
            <a:t>° Incorporar las rodajas de queso campesino. </a:t>
          </a:r>
        </a:p>
        <a:p>
          <a:r>
            <a:rPr lang="es-CO"/>
            <a:t>° Doblar el crepe en forma de triángulo. </a:t>
          </a:r>
        </a:p>
        <a:p>
          <a:r>
            <a:rPr lang="es-CO"/>
            <a:t>° Finalizar con un hilo delgado de leche condensada. </a:t>
          </a:r>
        </a:p>
        <a:p>
          <a:r>
            <a:rPr lang="es-CO"/>
            <a:t>Servir inmediatamente. </a:t>
          </a:r>
        </a:p>
        <a:p>
          <a:r>
            <a:rPr lang="es-CO" b="1"/>
            <a:t>TIEMPOS:</a:t>
          </a:r>
        </a:p>
        <a:p>
          <a:r>
            <a:rPr lang="es-CO"/>
            <a:t>Preparación: 5 min </a:t>
          </a:r>
        </a:p>
        <a:p>
          <a:r>
            <a:rPr lang="es-CO"/>
            <a:t>Cocción: 2–3 min </a:t>
          </a:r>
        </a:p>
        <a:p>
          <a:r>
            <a:rPr lang="es-CO"/>
            <a:t>Total: 5–7 min </a:t>
          </a:r>
        </a:p>
        <a:p>
          <a:r>
            <a:rPr lang="es-CO" b="1"/>
            <a:t>OBSERVACIONES:</a:t>
          </a:r>
        </a:p>
        <a:p>
          <a:r>
            <a:rPr lang="es-CO"/>
            <a:t>- No exceder el almíbar para evitar que la crema quede líquida.</a:t>
          </a:r>
        </a:p>
        <a:p>
          <a:r>
            <a:rPr lang="es-CO"/>
            <a:t>-</a:t>
          </a:r>
          <a:r>
            <a:rPr lang="es-CO" baseline="0"/>
            <a:t> no calentar mucho el crepe ya que se derretiria mucho la crema de leche y quedaria liquida</a:t>
          </a:r>
          <a:endParaRPr lang="es-CO"/>
        </a:p>
        <a:p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79376</xdr:colOff>
      <xdr:row>1</xdr:row>
      <xdr:rowOff>119062</xdr:rowOff>
    </xdr:from>
    <xdr:to>
      <xdr:col>12</xdr:col>
      <xdr:colOff>694531</xdr:colOff>
      <xdr:row>18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16B7725-62F7-4A90-B00C-8E6346D96E89}"/>
            </a:ext>
          </a:extLst>
        </xdr:cNvPr>
        <xdr:cNvSpPr txBox="1"/>
      </xdr:nvSpPr>
      <xdr:spPr>
        <a:xfrm>
          <a:off x="9822657" y="307578"/>
          <a:ext cx="3671093" cy="3145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el pan tipo cubano. </a:t>
          </a:r>
        </a:p>
        <a:p>
          <a:r>
            <a:rPr lang="es-CO"/>
            <a:t> Untar mantequilla en ambas caras internas del pan. </a:t>
          </a:r>
        </a:p>
        <a:p>
          <a:r>
            <a:rPr lang="es-CO"/>
            <a:t>° Llevar a sartén o plancha hasta dorar ligeramente. </a:t>
          </a:r>
        </a:p>
        <a:p>
          <a:r>
            <a:rPr lang="es-CO"/>
            <a:t>° Retirar y agregar salsa Hobbycenter en ambas caras internas. </a:t>
          </a:r>
        </a:p>
        <a:p>
          <a:r>
            <a:rPr lang="es-CO"/>
            <a:t>° Incorporar el relleno caliente de pollo con champiñones.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Agregar el queso sobre el relleno. </a:t>
          </a:r>
        </a:p>
        <a:p>
          <a:r>
            <a:rPr lang="es-CO"/>
            <a:t>° Cerrar el sándwich. </a:t>
          </a:r>
        </a:p>
        <a:p>
          <a:r>
            <a:rPr lang="es-CO"/>
            <a:t>° Llevar nuevamente a la plancha y presionar ligeramente hasta que el queso funda. </a:t>
          </a:r>
        </a:p>
        <a:p>
          <a:r>
            <a:rPr lang="es-CO"/>
            <a:t>° Servir caliente.</a:t>
          </a:r>
        </a:p>
        <a:p>
          <a:r>
            <a:rPr lang="es-CO" b="1"/>
            <a:t>TIEMPOS:</a:t>
          </a:r>
        </a:p>
        <a:p>
          <a:r>
            <a:rPr lang="es-CO"/>
            <a:t>Preparación: 5 min </a:t>
          </a:r>
        </a:p>
        <a:p>
          <a:r>
            <a:rPr lang="es-CO"/>
            <a:t>Cocción: 5–7 min </a:t>
          </a:r>
        </a:p>
        <a:p>
          <a:r>
            <a:rPr lang="es-CO" b="1"/>
            <a:t>OBSERVACIONES:</a:t>
          </a:r>
        </a:p>
        <a:p>
          <a:r>
            <a:rPr lang="es-CO"/>
            <a:t>- El relleno debe estar caliente antes de armar el sándwich. </a:t>
          </a:r>
        </a:p>
        <a:p>
          <a:r>
            <a:rPr lang="es-CO"/>
            <a:t>- No saturar de salsa para evitar que el pan se humedezca. </a:t>
          </a:r>
        </a:p>
        <a:p>
          <a:endParaRPr lang="es-CO"/>
        </a:p>
        <a:p>
          <a:endParaRPr lang="es-CO" sz="1100"/>
        </a:p>
      </xdr:txBody>
    </xdr:sp>
    <xdr:clientData/>
  </xdr:twoCellAnchor>
  <xdr:twoCellAnchor>
    <xdr:from>
      <xdr:col>8</xdr:col>
      <xdr:colOff>49610</xdr:colOff>
      <xdr:row>19</xdr:row>
      <xdr:rowOff>89297</xdr:rowOff>
    </xdr:from>
    <xdr:to>
      <xdr:col>12</xdr:col>
      <xdr:colOff>704453</xdr:colOff>
      <xdr:row>36</xdr:row>
      <xdr:rowOff>109142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085163B-430D-4291-AEBC-3F4C6721DB5E}"/>
            </a:ext>
          </a:extLst>
        </xdr:cNvPr>
        <xdr:cNvSpPr txBox="1"/>
      </xdr:nvSpPr>
      <xdr:spPr>
        <a:xfrm>
          <a:off x="9792891" y="3730625"/>
          <a:ext cx="3710781" cy="3284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el pan tipo cubano. </a:t>
          </a:r>
        </a:p>
        <a:p>
          <a:r>
            <a:rPr lang="es-CO"/>
            <a:t>° Untar mantequilla en ambas caras internas del pan. </a:t>
          </a:r>
        </a:p>
        <a:p>
          <a:r>
            <a:rPr lang="es-CO"/>
            <a:t>° Llevar a plancha o sartén hasta dorar ligeramente. </a:t>
          </a:r>
        </a:p>
        <a:p>
          <a:r>
            <a:rPr lang="es-CO"/>
            <a:t>° Retirar y agregar salsa Hobbycenter en ambas caras internas. </a:t>
          </a:r>
        </a:p>
        <a:p>
          <a:r>
            <a:rPr lang="es-CO"/>
            <a:t>° Incorporar el relleno caliente de stroganoff de res. </a:t>
          </a:r>
        </a:p>
        <a:p>
          <a:r>
            <a:rPr lang="es-CO"/>
            <a:t>° Agregar el queso sobre el relleno. </a:t>
          </a:r>
        </a:p>
        <a:p>
          <a:r>
            <a:rPr lang="es-CO"/>
            <a:t>Cerrar el sándwich. </a:t>
          </a:r>
        </a:p>
        <a:p>
          <a:r>
            <a:rPr lang="es-CO"/>
            <a:t>° Llevar nuevamente a la plancha y presionar ligeramente</a:t>
          </a:r>
          <a:r>
            <a:rPr lang="es-CO" baseline="0"/>
            <a:t> hasta que el queso se funda.</a:t>
          </a:r>
        </a:p>
        <a:p>
          <a:r>
            <a:rPr lang="es-CO" b="1"/>
            <a:t> TIEMPOS:</a:t>
          </a:r>
        </a:p>
        <a:p>
          <a:r>
            <a:rPr lang="es-CO"/>
            <a:t>Preparación: 5 min </a:t>
          </a:r>
        </a:p>
        <a:p>
          <a:r>
            <a:rPr lang="es-CO"/>
            <a:t>Cocción: 5–7 min </a:t>
          </a:r>
        </a:p>
        <a:p>
          <a:r>
            <a:rPr lang="es-CO" b="1"/>
            <a:t>OBSERVACIONES:</a:t>
          </a:r>
        </a:p>
        <a:p>
          <a:r>
            <a:rPr lang="es-CO"/>
            <a:t>- No sobrecalentar el relleno para evitar que la carne se endurezca. </a:t>
          </a:r>
        </a:p>
        <a:p>
          <a:r>
            <a:rPr lang="es-CO"/>
            <a:t>- Mantener la cremosidad del stroganoff. </a:t>
          </a:r>
        </a:p>
        <a:p>
          <a:endParaRPr lang="es-CO" sz="1100"/>
        </a:p>
      </xdr:txBody>
    </xdr:sp>
    <xdr:clientData/>
  </xdr:twoCellAnchor>
  <xdr:twoCellAnchor>
    <xdr:from>
      <xdr:col>8</xdr:col>
      <xdr:colOff>99219</xdr:colOff>
      <xdr:row>39</xdr:row>
      <xdr:rowOff>138906</xdr:rowOff>
    </xdr:from>
    <xdr:to>
      <xdr:col>13</xdr:col>
      <xdr:colOff>0</xdr:colOff>
      <xdr:row>56</xdr:row>
      <xdr:rowOff>59531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B4CFEBE-60A9-4761-8D62-ADB56FBF446B}"/>
            </a:ext>
          </a:extLst>
        </xdr:cNvPr>
        <xdr:cNvSpPr txBox="1"/>
      </xdr:nvSpPr>
      <xdr:spPr>
        <a:xfrm>
          <a:off x="9842500" y="7610078"/>
          <a:ext cx="3720703" cy="318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el pan tipo cubano. </a:t>
          </a:r>
        </a:p>
        <a:p>
          <a:r>
            <a:rPr lang="es-CO"/>
            <a:t>° Untar mantequilla en ambas caras internas del pan. </a:t>
          </a:r>
        </a:p>
        <a:p>
          <a:r>
            <a:rPr lang="es-CO"/>
            <a:t>° Llevar a plancha o sartén hasta dorar ligeramente. </a:t>
          </a:r>
        </a:p>
        <a:p>
          <a:r>
            <a:rPr lang="es-CO"/>
            <a:t>° Retirar y agregar salsa Hobbycenter en ambas caras internas. </a:t>
          </a:r>
        </a:p>
        <a:p>
          <a:r>
            <a:rPr lang="es-CO"/>
            <a:t>° Incorporar el relleno de atún cremoso. </a:t>
          </a:r>
        </a:p>
        <a:p>
          <a:r>
            <a:rPr lang="es-CO"/>
            <a:t>° Agregar el queso sobre el relleno. </a:t>
          </a:r>
        </a:p>
        <a:p>
          <a:r>
            <a:rPr lang="es-CO"/>
            <a:t>° Cerrar el sándwich. </a:t>
          </a:r>
        </a:p>
        <a:p>
          <a:r>
            <a:rPr lang="es-CO"/>
            <a:t>° Llevar a la plancha y presionar ligeramente hasta que el queso funda</a:t>
          </a:r>
        </a:p>
        <a:p>
          <a:r>
            <a:rPr lang="es-CO" b="1"/>
            <a:t>TIEMPOS:</a:t>
          </a:r>
        </a:p>
        <a:p>
          <a:r>
            <a:rPr lang="es-CO"/>
            <a:t>Preparación: 5 min </a:t>
          </a:r>
        </a:p>
        <a:p>
          <a:r>
            <a:rPr lang="es-CO"/>
            <a:t>Cocción: 5–7 min </a:t>
          </a:r>
        </a:p>
        <a:p>
          <a:r>
            <a:rPr lang="es-CO" b="1"/>
            <a:t>OBSERVACIONES:</a:t>
          </a:r>
        </a:p>
        <a:p>
          <a:r>
            <a:rPr lang="es-CO"/>
            <a:t>- Escurrir bien el atún desde la base del relleno para evitar humedad. </a:t>
          </a:r>
        </a:p>
        <a:p>
          <a:r>
            <a:rPr lang="es-CO"/>
            <a:t>- No exceder la salsa para mantener textura del pan. </a:t>
          </a:r>
        </a:p>
        <a:p>
          <a:endParaRPr lang="es-CO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241576</xdr:colOff>
      <xdr:row>0</xdr:row>
      <xdr:rowOff>0</xdr:rowOff>
    </xdr:from>
    <xdr:to>
      <xdr:col>13</xdr:col>
      <xdr:colOff>572880</xdr:colOff>
      <xdr:row>31</xdr:row>
      <xdr:rowOff>127051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5BB9CD3-0B14-44E8-BC64-979C4A3C3A83}"/>
            </a:ext>
          </a:extLst>
        </xdr:cNvPr>
        <xdr:cNvSpPr txBox="1"/>
      </xdr:nvSpPr>
      <xdr:spPr>
        <a:xfrm>
          <a:off x="9302085" y="0"/>
          <a:ext cx="4153064" cy="58538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Precalentar la plancha a temperatura media–alta. </a:t>
          </a:r>
        </a:p>
        <a:p>
          <a:r>
            <a:rPr lang="es-CO"/>
            <a:t>° Colocar la carne en la plancha y cocinar 4 minutos por un lado. </a:t>
          </a:r>
        </a:p>
        <a:p>
          <a:r>
            <a:rPr lang="es-CO"/>
            <a:t>° Voltear y cocinar 3–4 minutos más. </a:t>
          </a:r>
        </a:p>
        <a:p>
          <a:r>
            <a:rPr lang="es-CO"/>
            <a:t>° En el último minuto, agregar el queso sobre la carne para fundir. </a:t>
          </a:r>
        </a:p>
        <a:p>
          <a:r>
            <a:rPr lang="es-CO"/>
            <a:t>° En paralelo: </a:t>
          </a:r>
        </a:p>
        <a:p>
          <a:pPr lvl="1"/>
          <a:r>
            <a:rPr lang="es-CO"/>
            <a:t>*Cocinar la tocineta hasta que esté dorada. </a:t>
          </a:r>
        </a:p>
        <a:p>
          <a:pPr lvl="1"/>
          <a:r>
            <a:rPr lang="es-CO"/>
            <a:t>*En la misma plancha, agregar la cebolla con aceite, azúcar y sal. </a:t>
          </a:r>
        </a:p>
        <a:p>
          <a:pPr lvl="1"/>
          <a:r>
            <a:rPr lang="es-CO"/>
            <a:t>*Cocinar aproximadamente 6 minutos hasta que esté suave, manteniendo ligera textura crocante. </a:t>
          </a:r>
        </a:p>
        <a:p>
          <a:r>
            <a:rPr lang="es-CO"/>
            <a:t>° Calentar el pan con mantequilla durante 20–30 segundos. </a:t>
          </a:r>
        </a:p>
        <a:p>
          <a:r>
            <a:rPr lang="es-CO" b="1"/>
            <a:t>ARMADO:</a:t>
          </a:r>
        </a:p>
        <a:p>
          <a:r>
            <a:rPr lang="es-CO"/>
            <a:t>- Base del pan. </a:t>
          </a:r>
        </a:p>
        <a:p>
          <a:r>
            <a:rPr lang="es-CO"/>
            <a:t>- Salsa cheddar en ambas tapas. </a:t>
          </a:r>
        </a:p>
        <a:p>
          <a:r>
            <a:rPr lang="es-CO"/>
            <a:t>- Lechuga. </a:t>
          </a:r>
        </a:p>
        <a:p>
          <a:r>
            <a:rPr lang="es-CO"/>
            <a:t>- Tomate. </a:t>
          </a:r>
        </a:p>
        <a:p>
          <a:r>
            <a:rPr lang="es-CO"/>
            <a:t>- Carne con queso fundido. </a:t>
          </a:r>
        </a:p>
        <a:p>
          <a:r>
            <a:rPr lang="es-CO"/>
            <a:t>- Cebolla caramelizada. </a:t>
          </a:r>
        </a:p>
        <a:p>
          <a:r>
            <a:rPr lang="es-CO"/>
            <a:t>- Tocineta. </a:t>
          </a:r>
        </a:p>
        <a:p>
          <a:r>
            <a:rPr lang="es-CO"/>
            <a:t>- Salsa Hobbycenter.</a:t>
          </a:r>
        </a:p>
        <a:p>
          <a:r>
            <a:rPr lang="es-CO"/>
            <a:t>- Tapa del pan. </a:t>
          </a:r>
        </a:p>
        <a:p>
          <a:r>
            <a:rPr lang="es-CO" b="1"/>
            <a:t>TIEMPOS:</a:t>
          </a:r>
        </a:p>
        <a:p>
          <a:r>
            <a:rPr lang="es-CO"/>
            <a:t>° Preparación: 5–7 min </a:t>
          </a:r>
        </a:p>
        <a:p>
          <a:r>
            <a:rPr lang="es-CO"/>
            <a:t>° Cocción: 10–12 min </a:t>
          </a:r>
        </a:p>
        <a:p>
          <a:r>
            <a:rPr lang="es-CO"/>
            <a:t>° Total: 12–15 min </a:t>
          </a:r>
        </a:p>
        <a:p>
          <a:r>
            <a:rPr lang="es-CO" b="1"/>
            <a:t>OBSERVACIONES:</a:t>
          </a:r>
        </a:p>
        <a:p>
          <a:r>
            <a:rPr lang="es-CO"/>
            <a:t>-</a:t>
          </a:r>
          <a:r>
            <a:rPr lang="es-CO" baseline="0"/>
            <a:t> </a:t>
          </a:r>
          <a:r>
            <a:rPr lang="es-CO"/>
            <a:t>Voltear la carne solo una vez para mejor sellado. </a:t>
          </a:r>
        </a:p>
        <a:p>
          <a:r>
            <a:rPr lang="es-CO"/>
            <a:t>- No sobrecocinar para evitar resequedad. </a:t>
          </a:r>
        </a:p>
        <a:p>
          <a:r>
            <a:rPr lang="es-CO"/>
            <a:t>- La cebolla debe quedar suave pero con ligera textura (no totalmente blanda). </a:t>
          </a:r>
        </a:p>
        <a:p>
          <a:r>
            <a:rPr lang="es-CO"/>
            <a:t>- El pan debe quedar dorado, no tostado en exceso.</a:t>
          </a:r>
        </a:p>
        <a:p>
          <a:endParaRPr lang="es-CO" sz="1100"/>
        </a:p>
      </xdr:txBody>
    </xdr:sp>
    <xdr:clientData/>
  </xdr:twoCellAnchor>
  <xdr:twoCellAnchor>
    <xdr:from>
      <xdr:col>8</xdr:col>
      <xdr:colOff>198438</xdr:colOff>
      <xdr:row>33</xdr:row>
      <xdr:rowOff>158751</xdr:rowOff>
    </xdr:from>
    <xdr:to>
      <xdr:col>13</xdr:col>
      <xdr:colOff>615157</xdr:colOff>
      <xdr:row>51</xdr:row>
      <xdr:rowOff>59533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39E21B5-AFCF-4BC1-B96F-29E574AEFC1D}"/>
            </a:ext>
          </a:extLst>
        </xdr:cNvPr>
        <xdr:cNvSpPr txBox="1"/>
      </xdr:nvSpPr>
      <xdr:spPr>
        <a:xfrm>
          <a:off x="9376172" y="6439298"/>
          <a:ext cx="4236641" cy="3353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b="1"/>
            <a:t>PROCEDIMIENTO:</a:t>
          </a:r>
        </a:p>
        <a:p>
          <a:r>
            <a:rPr lang="es-CO"/>
            <a:t>° Cortar el pan y untar mantequilla en las caras internas. </a:t>
          </a:r>
        </a:p>
        <a:p>
          <a:r>
            <a:rPr lang="es-CO"/>
            <a:t>° Llevar a plancha o sartén y dorar ligeramente (20–30 segundos). </a:t>
          </a:r>
        </a:p>
        <a:p>
          <a:r>
            <a:rPr lang="es-CO"/>
            <a:t>°</a:t>
          </a:r>
          <a:r>
            <a:rPr lang="es-CO" baseline="0"/>
            <a:t> </a:t>
          </a:r>
          <a:r>
            <a:rPr lang="es-CO"/>
            <a:t>Calentar el filete de pollo apanado si es necesario. </a:t>
          </a:r>
        </a:p>
        <a:p>
          <a:r>
            <a:rPr lang="es-CO"/>
            <a:t>° Colocar el queso sobre el filete caliente para que funda ligeramente. </a:t>
          </a:r>
        </a:p>
        <a:p>
          <a:r>
            <a:rPr lang="es-CO"/>
            <a:t>° Untar salsa Hobbycenter en ambas caras del pan. </a:t>
          </a:r>
        </a:p>
        <a:p>
          <a:r>
            <a:rPr lang="es-CO" b="1"/>
            <a:t> ARMADO:</a:t>
          </a:r>
        </a:p>
        <a:p>
          <a:r>
            <a:rPr lang="es-CO"/>
            <a:t>- Base del pan. </a:t>
          </a:r>
        </a:p>
        <a:p>
          <a:r>
            <a:rPr lang="es-CO"/>
            <a:t>- Filete de pollo apanado con queso. </a:t>
          </a:r>
        </a:p>
        <a:p>
          <a:r>
            <a:rPr lang="es-CO"/>
            <a:t>- Coleslaw (encima del pollo). </a:t>
          </a:r>
        </a:p>
        <a:p>
          <a:r>
            <a:rPr lang="es-CO"/>
            <a:t>- Tapa del pan. </a:t>
          </a:r>
        </a:p>
        <a:p>
          <a:r>
            <a:rPr lang="es-CO" b="1"/>
            <a:t> TIEMPOS:</a:t>
          </a:r>
        </a:p>
        <a:p>
          <a:r>
            <a:rPr lang="es-CO"/>
            <a:t>Preparación: 5 min </a:t>
          </a:r>
        </a:p>
        <a:p>
          <a:r>
            <a:rPr lang="es-CO"/>
            <a:t>Cocción: 5–7 min </a:t>
          </a:r>
        </a:p>
        <a:p>
          <a:r>
            <a:rPr lang="es-CO"/>
            <a:t>Total: 10–12 min </a:t>
          </a:r>
        </a:p>
        <a:p>
          <a:r>
            <a:rPr lang="es-CO" b="1"/>
            <a:t>OBSERVACIONES:</a:t>
          </a:r>
        </a:p>
        <a:p>
          <a:r>
            <a:rPr lang="es-CO"/>
            <a:t>- El coleslaw debe ir frío para contraste de textura. </a:t>
          </a:r>
        </a:p>
        <a:p>
          <a:r>
            <a:rPr lang="es-CO"/>
            <a:t>- Servir inmediatamente para mantener crocancia del pollo.</a:t>
          </a:r>
        </a:p>
        <a:p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8589-B282-44F6-A52C-F97BA9688E53}">
  <dimension ref="C4:H54"/>
  <sheetViews>
    <sheetView tabSelected="1" zoomScaleNormal="100" workbookViewId="0">
      <selection activeCell="C18" sqref="C18"/>
    </sheetView>
  </sheetViews>
  <sheetFormatPr baseColWidth="10" defaultRowHeight="14.5" x14ac:dyDescent="0.35"/>
  <cols>
    <col min="3" max="3" width="37.6328125" customWidth="1"/>
    <col min="4" max="4" width="10.90625" customWidth="1"/>
    <col min="6" max="6" width="21.54296875" customWidth="1"/>
    <col min="7" max="7" width="18.36328125" customWidth="1"/>
    <col min="8" max="8" width="18.453125" customWidth="1"/>
  </cols>
  <sheetData>
    <row r="4" spans="3:8" x14ac:dyDescent="0.35">
      <c r="C4" s="9" t="s">
        <v>28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23</v>
      </c>
      <c r="G5" s="1" t="s">
        <v>3</v>
      </c>
      <c r="H5" s="1" t="s">
        <v>4</v>
      </c>
    </row>
    <row r="6" spans="3:8" x14ac:dyDescent="0.35">
      <c r="C6" s="2" t="s">
        <v>12</v>
      </c>
      <c r="D6" s="2">
        <v>200</v>
      </c>
      <c r="E6" s="2" t="s">
        <v>5</v>
      </c>
      <c r="F6" s="2" t="s">
        <v>24</v>
      </c>
      <c r="G6" s="3">
        <v>1500</v>
      </c>
      <c r="H6" s="2">
        <f>D6*G6/500</f>
        <v>600</v>
      </c>
    </row>
    <row r="7" spans="3:8" x14ac:dyDescent="0.35">
      <c r="C7" s="2" t="s">
        <v>13</v>
      </c>
      <c r="D7" s="2">
        <v>150</v>
      </c>
      <c r="E7" s="2" t="s">
        <v>5</v>
      </c>
      <c r="F7" s="2" t="s">
        <v>24</v>
      </c>
      <c r="G7" s="3">
        <v>22000</v>
      </c>
      <c r="H7" s="2">
        <f>D7*G7/500</f>
        <v>6600</v>
      </c>
    </row>
    <row r="8" spans="3:8" x14ac:dyDescent="0.35">
      <c r="C8" s="2" t="s">
        <v>14</v>
      </c>
      <c r="D8" s="2">
        <v>150</v>
      </c>
      <c r="E8" s="2" t="s">
        <v>5</v>
      </c>
      <c r="F8" s="2" t="s">
        <v>27</v>
      </c>
      <c r="G8" s="3">
        <v>20000</v>
      </c>
      <c r="H8" s="2">
        <f>D8*G8/500</f>
        <v>6000</v>
      </c>
    </row>
    <row r="9" spans="3:8" x14ac:dyDescent="0.35">
      <c r="C9" s="2" t="s">
        <v>19</v>
      </c>
      <c r="D9" s="2">
        <v>150</v>
      </c>
      <c r="E9" s="2" t="s">
        <v>5</v>
      </c>
      <c r="F9" s="2" t="s">
        <v>27</v>
      </c>
      <c r="G9" s="3">
        <v>18000</v>
      </c>
      <c r="H9" s="2">
        <f>D9*G9/500</f>
        <v>5400</v>
      </c>
    </row>
    <row r="10" spans="3:8" x14ac:dyDescent="0.35">
      <c r="C10" s="2" t="s">
        <v>20</v>
      </c>
      <c r="D10" s="2">
        <v>80</v>
      </c>
      <c r="E10" s="2" t="s">
        <v>5</v>
      </c>
      <c r="F10" s="2" t="s">
        <v>27</v>
      </c>
      <c r="G10" s="3">
        <v>30000</v>
      </c>
      <c r="H10" s="2">
        <f>D10*G10/500</f>
        <v>4800</v>
      </c>
    </row>
    <row r="11" spans="3:8" x14ac:dyDescent="0.35">
      <c r="C11" s="2" t="s">
        <v>21</v>
      </c>
      <c r="D11" s="2">
        <v>60</v>
      </c>
      <c r="E11" s="2" t="s">
        <v>5</v>
      </c>
      <c r="F11" s="2" t="s">
        <v>27</v>
      </c>
      <c r="G11" s="3">
        <v>22000</v>
      </c>
      <c r="H11" s="2">
        <f>D11*G11/500</f>
        <v>2640</v>
      </c>
    </row>
    <row r="12" spans="3:8" x14ac:dyDescent="0.35">
      <c r="C12" s="8" t="s">
        <v>16</v>
      </c>
      <c r="D12" s="2">
        <v>60</v>
      </c>
      <c r="E12" s="2" t="s">
        <v>5</v>
      </c>
      <c r="F12" s="2" t="s">
        <v>27</v>
      </c>
      <c r="G12" s="3">
        <v>30000</v>
      </c>
      <c r="H12" s="2">
        <f>D12*G12/500</f>
        <v>3600</v>
      </c>
    </row>
    <row r="13" spans="3:8" x14ac:dyDescent="0.35">
      <c r="C13" s="8" t="s">
        <v>15</v>
      </c>
      <c r="D13" s="2">
        <v>50</v>
      </c>
      <c r="E13" s="2" t="s">
        <v>5</v>
      </c>
      <c r="F13" s="2" t="s">
        <v>27</v>
      </c>
      <c r="G13" s="3">
        <v>15000</v>
      </c>
      <c r="H13" s="2">
        <f>D13*G13/500</f>
        <v>1500</v>
      </c>
    </row>
    <row r="14" spans="3:8" ht="15" thickBot="1" x14ac:dyDescent="0.4">
      <c r="C14" s="8" t="s">
        <v>22</v>
      </c>
      <c r="D14" s="2">
        <v>100</v>
      </c>
      <c r="E14" s="2" t="s">
        <v>5</v>
      </c>
      <c r="F14" s="2" t="s">
        <v>27</v>
      </c>
      <c r="G14" s="3">
        <v>13000</v>
      </c>
      <c r="H14" s="2">
        <f>D14*G14/500</f>
        <v>2600</v>
      </c>
    </row>
    <row r="15" spans="3:8" ht="19" thickBot="1" x14ac:dyDescent="0.5">
      <c r="C15" s="29" t="s">
        <v>160</v>
      </c>
      <c r="G15" s="20" t="s">
        <v>9</v>
      </c>
      <c r="H15" s="19">
        <f>SUM(H6:H14)</f>
        <v>33740</v>
      </c>
    </row>
    <row r="16" spans="3:8" x14ac:dyDescent="0.35">
      <c r="G16" s="28" t="s">
        <v>161</v>
      </c>
    </row>
    <row r="43" spans="3:8" ht="15.5" x14ac:dyDescent="0.35">
      <c r="C43" s="22" t="s">
        <v>0</v>
      </c>
      <c r="D43" s="22" t="s">
        <v>1</v>
      </c>
      <c r="E43" s="22" t="s">
        <v>2</v>
      </c>
      <c r="F43" s="22" t="s">
        <v>38</v>
      </c>
      <c r="G43" s="22" t="s">
        <v>3</v>
      </c>
      <c r="H43" s="22" t="s">
        <v>39</v>
      </c>
    </row>
    <row r="44" spans="3:8" x14ac:dyDescent="0.35">
      <c r="C44" s="3"/>
      <c r="D44" s="3"/>
      <c r="E44" s="3"/>
      <c r="F44" s="3"/>
      <c r="G44" s="3"/>
      <c r="H44" s="3">
        <f>D44*G44/1000</f>
        <v>0</v>
      </c>
    </row>
    <row r="45" spans="3:8" x14ac:dyDescent="0.35">
      <c r="C45" s="3"/>
      <c r="D45" s="3"/>
      <c r="E45" s="3"/>
      <c r="F45" s="3"/>
      <c r="G45" s="3"/>
      <c r="H45" s="3">
        <f>D45*G45/1000</f>
        <v>0</v>
      </c>
    </row>
    <row r="46" spans="3:8" x14ac:dyDescent="0.35">
      <c r="C46" s="3"/>
      <c r="D46" s="3"/>
      <c r="E46" s="3"/>
      <c r="F46" s="3"/>
      <c r="G46" s="3"/>
      <c r="H46" s="3">
        <f>D46*G46/1000</f>
        <v>0</v>
      </c>
    </row>
    <row r="47" spans="3:8" x14ac:dyDescent="0.35">
      <c r="C47" s="3"/>
      <c r="D47" s="3"/>
      <c r="E47" s="3"/>
      <c r="F47" s="3"/>
      <c r="G47" s="3"/>
      <c r="H47" s="3">
        <f>D47*G47/1000</f>
        <v>0</v>
      </c>
    </row>
    <row r="48" spans="3:8" x14ac:dyDescent="0.35">
      <c r="C48" s="3"/>
      <c r="D48" s="3"/>
      <c r="E48" s="3"/>
      <c r="F48" s="3"/>
      <c r="G48" s="3"/>
      <c r="H48" s="3">
        <f>D48*G48/12</f>
        <v>0</v>
      </c>
    </row>
    <row r="49" spans="3:8" x14ac:dyDescent="0.35">
      <c r="C49" s="3"/>
      <c r="D49" s="3"/>
      <c r="E49" s="3"/>
      <c r="F49" s="3"/>
      <c r="G49" s="3"/>
      <c r="H49" s="3">
        <f>D49*G49/1000</f>
        <v>0</v>
      </c>
    </row>
    <row r="50" spans="3:8" x14ac:dyDescent="0.35">
      <c r="C50" s="3"/>
      <c r="D50" s="3"/>
      <c r="E50" s="3"/>
      <c r="F50" s="3"/>
      <c r="G50" s="3"/>
      <c r="H50" s="3"/>
    </row>
    <row r="51" spans="3:8" x14ac:dyDescent="0.35">
      <c r="C51" s="3"/>
      <c r="D51" s="3"/>
      <c r="E51" s="3"/>
      <c r="F51" s="3"/>
      <c r="G51" s="3"/>
      <c r="H51" s="3"/>
    </row>
    <row r="52" spans="3:8" x14ac:dyDescent="0.35">
      <c r="C52" s="3"/>
      <c r="D52" s="3"/>
      <c r="E52" s="3"/>
      <c r="F52" s="3"/>
      <c r="G52" s="3"/>
      <c r="H52" s="3"/>
    </row>
    <row r="53" spans="3:8" ht="15" thickBot="1" x14ac:dyDescent="0.4">
      <c r="C53" s="3"/>
      <c r="D53" s="3"/>
      <c r="E53" s="3"/>
      <c r="F53" s="3"/>
      <c r="G53" s="4"/>
      <c r="H53" s="4"/>
    </row>
    <row r="54" spans="3:8" ht="19" thickBot="1" x14ac:dyDescent="0.5">
      <c r="C54" s="21"/>
      <c r="D54" s="21"/>
      <c r="E54" s="21"/>
      <c r="F54" s="21"/>
      <c r="G54" s="20" t="s">
        <v>9</v>
      </c>
      <c r="H54" s="19">
        <f>SUM(H44:H53)</f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902A-7951-4A13-8718-D5E967CD68D2}">
  <dimension ref="C4:H12"/>
  <sheetViews>
    <sheetView zoomScaleNormal="100" workbookViewId="0">
      <selection activeCell="B21" sqref="B21"/>
    </sheetView>
  </sheetViews>
  <sheetFormatPr baseColWidth="10" defaultRowHeight="14.5" x14ac:dyDescent="0.35"/>
  <cols>
    <col min="3" max="3" width="23.6328125" customWidth="1"/>
    <col min="5" max="5" width="10.90625" customWidth="1"/>
    <col min="6" max="6" width="21.7265625" customWidth="1"/>
    <col min="7" max="7" width="16.54296875" customWidth="1"/>
    <col min="8" max="8" width="14.81640625" customWidth="1"/>
  </cols>
  <sheetData>
    <row r="4" spans="3:8" x14ac:dyDescent="0.35">
      <c r="C4" s="9" t="s">
        <v>10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23</v>
      </c>
      <c r="G5" s="1" t="s">
        <v>3</v>
      </c>
      <c r="H5" s="1" t="s">
        <v>4</v>
      </c>
    </row>
    <row r="6" spans="3:8" x14ac:dyDescent="0.35">
      <c r="C6" s="2" t="s">
        <v>11</v>
      </c>
      <c r="D6" s="2">
        <v>250</v>
      </c>
      <c r="E6" s="2" t="s">
        <v>5</v>
      </c>
      <c r="F6" s="2" t="s">
        <v>34</v>
      </c>
      <c r="G6" s="3">
        <v>30600</v>
      </c>
      <c r="H6" s="2">
        <f>D6*G6/1000</f>
        <v>7650</v>
      </c>
    </row>
    <row r="7" spans="3:8" x14ac:dyDescent="0.35">
      <c r="C7" s="2" t="s">
        <v>29</v>
      </c>
      <c r="D7" s="2">
        <v>5</v>
      </c>
      <c r="E7" s="2" t="s">
        <v>5</v>
      </c>
      <c r="F7" s="2" t="s">
        <v>24</v>
      </c>
      <c r="G7" s="3">
        <v>16870</v>
      </c>
      <c r="H7" s="2">
        <f>D7*G7/500</f>
        <v>168.7</v>
      </c>
    </row>
    <row r="8" spans="3:8" x14ac:dyDescent="0.35">
      <c r="C8" s="2" t="s">
        <v>37</v>
      </c>
      <c r="D8" s="2">
        <v>10</v>
      </c>
      <c r="E8" s="2" t="s">
        <v>32</v>
      </c>
      <c r="F8" s="2">
        <v>0</v>
      </c>
      <c r="G8" s="3">
        <v>0</v>
      </c>
      <c r="H8" s="2">
        <f t="shared" ref="H8:H11" si="0">D8*G8/500</f>
        <v>0</v>
      </c>
    </row>
    <row r="9" spans="3:8" x14ac:dyDescent="0.35">
      <c r="C9" s="2" t="s">
        <v>30</v>
      </c>
      <c r="D9" s="2">
        <v>50</v>
      </c>
      <c r="E9" s="2" t="s">
        <v>5</v>
      </c>
      <c r="F9" s="2" t="s">
        <v>27</v>
      </c>
      <c r="G9" s="3">
        <v>2000</v>
      </c>
      <c r="H9" s="2">
        <f>D9*G9/500</f>
        <v>200</v>
      </c>
    </row>
    <row r="10" spans="3:8" x14ac:dyDescent="0.35">
      <c r="C10" s="2" t="s">
        <v>31</v>
      </c>
      <c r="D10" s="2">
        <v>50</v>
      </c>
      <c r="E10" s="2" t="s">
        <v>5</v>
      </c>
      <c r="F10" s="2" t="s">
        <v>35</v>
      </c>
      <c r="G10" s="3">
        <v>7000</v>
      </c>
      <c r="H10" s="2">
        <f>D10*G10/200</f>
        <v>1750</v>
      </c>
    </row>
    <row r="11" spans="3:8" ht="15" thickBot="1" x14ac:dyDescent="0.4">
      <c r="C11" s="2" t="s">
        <v>33</v>
      </c>
      <c r="D11" s="2">
        <v>25</v>
      </c>
      <c r="E11" s="2" t="s">
        <v>32</v>
      </c>
      <c r="F11" s="2" t="s">
        <v>36</v>
      </c>
      <c r="G11" s="3">
        <v>8500</v>
      </c>
      <c r="H11" s="2">
        <f>D11*G11/900</f>
        <v>236.11111111111111</v>
      </c>
    </row>
    <row r="12" spans="3:8" ht="19" thickBot="1" x14ac:dyDescent="0.5">
      <c r="C12" s="8"/>
      <c r="G12" s="20" t="s">
        <v>9</v>
      </c>
      <c r="H12" s="19">
        <f>SUM(H6:H11)</f>
        <v>10004.811111111112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0C0B-A3A1-4197-887C-7F0F8072B00B}">
  <dimension ref="C4:I91"/>
  <sheetViews>
    <sheetView zoomScaleNormal="100" workbookViewId="0">
      <selection activeCell="N50" sqref="N50"/>
    </sheetView>
  </sheetViews>
  <sheetFormatPr baseColWidth="10" defaultRowHeight="14.5" x14ac:dyDescent="0.35"/>
  <cols>
    <col min="3" max="3" width="35.81640625" customWidth="1"/>
    <col min="4" max="4" width="12.90625" customWidth="1"/>
    <col min="6" max="6" width="20.453125" customWidth="1"/>
    <col min="7" max="8" width="18.81640625" customWidth="1"/>
  </cols>
  <sheetData>
    <row r="4" spans="3:9" x14ac:dyDescent="0.35">
      <c r="C4" s="11" t="s">
        <v>202</v>
      </c>
    </row>
    <row r="5" spans="3:9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9" x14ac:dyDescent="0.35">
      <c r="C6" s="2" t="s">
        <v>40</v>
      </c>
      <c r="D6" s="2">
        <v>125</v>
      </c>
      <c r="E6" s="2" t="s">
        <v>43</v>
      </c>
      <c r="F6" s="2" t="s">
        <v>35</v>
      </c>
      <c r="G6" s="3">
        <v>10400</v>
      </c>
      <c r="H6" s="3">
        <f>D6*G6/200</f>
        <v>6500</v>
      </c>
    </row>
    <row r="7" spans="3:9" x14ac:dyDescent="0.35">
      <c r="C7" s="2" t="s">
        <v>41</v>
      </c>
      <c r="D7" s="2">
        <v>50</v>
      </c>
      <c r="E7" s="2" t="s">
        <v>43</v>
      </c>
      <c r="F7" s="2" t="s">
        <v>44</v>
      </c>
      <c r="G7" s="3">
        <v>9000</v>
      </c>
      <c r="H7" s="3">
        <f>D7*G7/350</f>
        <v>1285.7142857142858</v>
      </c>
    </row>
    <row r="8" spans="3:9" ht="15" thickBot="1" x14ac:dyDescent="0.4">
      <c r="C8" s="2" t="s">
        <v>42</v>
      </c>
      <c r="D8" s="2">
        <v>15</v>
      </c>
      <c r="E8" s="2" t="s">
        <v>43</v>
      </c>
      <c r="F8" s="2" t="s">
        <v>35</v>
      </c>
      <c r="G8" s="3">
        <v>27000</v>
      </c>
      <c r="H8" s="3">
        <f>D8*G8/200</f>
        <v>2025</v>
      </c>
      <c r="I8" t="s">
        <v>45</v>
      </c>
    </row>
    <row r="9" spans="3:9" ht="19" thickBot="1" x14ac:dyDescent="0.5">
      <c r="C9" s="42" t="s">
        <v>201</v>
      </c>
      <c r="D9" s="2"/>
      <c r="E9" s="2"/>
      <c r="F9" s="2"/>
      <c r="G9" s="20" t="s">
        <v>9</v>
      </c>
      <c r="H9" s="19">
        <f>SUM(H6:H8)</f>
        <v>9810.7142857142862</v>
      </c>
    </row>
    <row r="10" spans="3:9" ht="18.5" x14ac:dyDescent="0.45">
      <c r="C10" s="44" t="s">
        <v>200</v>
      </c>
      <c r="D10" s="27">
        <v>190</v>
      </c>
      <c r="G10" s="35" t="s">
        <v>195</v>
      </c>
      <c r="H10" s="35">
        <v>3270</v>
      </c>
    </row>
    <row r="11" spans="3:9" x14ac:dyDescent="0.35">
      <c r="G11" s="21"/>
      <c r="H11" s="21"/>
    </row>
    <row r="12" spans="3:9" x14ac:dyDescent="0.35">
      <c r="G12" s="21"/>
      <c r="H12" s="21"/>
    </row>
    <row r="13" spans="3:9" x14ac:dyDescent="0.35">
      <c r="G13" s="21"/>
      <c r="H13" s="21"/>
    </row>
    <row r="14" spans="3:9" x14ac:dyDescent="0.35">
      <c r="C14" s="11" t="s">
        <v>203</v>
      </c>
      <c r="G14" s="21"/>
      <c r="H14" s="21"/>
    </row>
    <row r="15" spans="3:9" ht="15.5" x14ac:dyDescent="0.35">
      <c r="C15" s="1" t="s">
        <v>0</v>
      </c>
      <c r="D15" s="1" t="s">
        <v>1</v>
      </c>
      <c r="E15" s="1" t="s">
        <v>2</v>
      </c>
      <c r="F15" s="1" t="s">
        <v>38</v>
      </c>
      <c r="G15" s="22" t="s">
        <v>3</v>
      </c>
      <c r="H15" s="22" t="s">
        <v>39</v>
      </c>
    </row>
    <row r="16" spans="3:9" x14ac:dyDescent="0.35">
      <c r="C16" s="2" t="s">
        <v>46</v>
      </c>
      <c r="D16" s="2">
        <v>125</v>
      </c>
      <c r="E16" s="2" t="s">
        <v>43</v>
      </c>
      <c r="F16" s="2" t="s">
        <v>35</v>
      </c>
      <c r="G16" s="3">
        <v>6000</v>
      </c>
      <c r="H16" s="3">
        <f>D16*G16/200</f>
        <v>3750</v>
      </c>
    </row>
    <row r="17" spans="3:8" x14ac:dyDescent="0.35">
      <c r="C17" s="2" t="s">
        <v>41</v>
      </c>
      <c r="D17" s="2">
        <v>60</v>
      </c>
      <c r="E17" s="2" t="s">
        <v>43</v>
      </c>
      <c r="F17" s="2">
        <v>350</v>
      </c>
      <c r="G17" s="3">
        <v>9000</v>
      </c>
      <c r="H17" s="3">
        <f>D17*G17/350</f>
        <v>1542.8571428571429</v>
      </c>
    </row>
    <row r="18" spans="3:8" ht="15" thickBot="1" x14ac:dyDescent="0.4">
      <c r="C18" s="2" t="s">
        <v>47</v>
      </c>
      <c r="D18" s="2">
        <v>90</v>
      </c>
      <c r="E18" s="2" t="s">
        <v>43</v>
      </c>
      <c r="F18" s="2" t="s">
        <v>48</v>
      </c>
      <c r="G18" s="3">
        <v>9000</v>
      </c>
      <c r="H18" s="3">
        <f>D18*G18/400</f>
        <v>2025</v>
      </c>
    </row>
    <row r="19" spans="3:8" ht="19" thickBot="1" x14ac:dyDescent="0.5">
      <c r="C19" s="42" t="s">
        <v>205</v>
      </c>
      <c r="D19" s="2"/>
      <c r="E19" s="2"/>
      <c r="F19" s="2"/>
      <c r="G19" s="20" t="s">
        <v>9</v>
      </c>
      <c r="H19" s="19">
        <f>SUM(H16:H18)</f>
        <v>7317.8571428571431</v>
      </c>
    </row>
    <row r="20" spans="3:8" ht="18.5" x14ac:dyDescent="0.45">
      <c r="C20" s="44" t="s">
        <v>200</v>
      </c>
      <c r="D20" s="27">
        <v>275</v>
      </c>
      <c r="G20" s="35" t="s">
        <v>176</v>
      </c>
      <c r="H20" s="35">
        <v>1829</v>
      </c>
    </row>
    <row r="21" spans="3:8" x14ac:dyDescent="0.35">
      <c r="G21" s="21"/>
      <c r="H21" s="21"/>
    </row>
    <row r="22" spans="3:8" x14ac:dyDescent="0.35">
      <c r="G22" s="21"/>
      <c r="H22" s="21"/>
    </row>
    <row r="23" spans="3:8" x14ac:dyDescent="0.35">
      <c r="G23" s="21"/>
      <c r="H23" s="21"/>
    </row>
    <row r="24" spans="3:8" x14ac:dyDescent="0.35">
      <c r="G24" s="21"/>
      <c r="H24" s="21"/>
    </row>
    <row r="25" spans="3:8" x14ac:dyDescent="0.35">
      <c r="C25" s="11" t="s">
        <v>204</v>
      </c>
      <c r="G25" s="21"/>
      <c r="H25" s="21"/>
    </row>
    <row r="26" spans="3:8" ht="15.5" x14ac:dyDescent="0.35">
      <c r="C26" s="1" t="s">
        <v>0</v>
      </c>
      <c r="D26" s="1" t="s">
        <v>1</v>
      </c>
      <c r="E26" s="1" t="s">
        <v>2</v>
      </c>
      <c r="F26" s="1" t="s">
        <v>38</v>
      </c>
      <c r="G26" s="22" t="s">
        <v>3</v>
      </c>
      <c r="H26" s="22" t="s">
        <v>39</v>
      </c>
    </row>
    <row r="27" spans="3:8" x14ac:dyDescent="0.35">
      <c r="C27" s="2" t="s">
        <v>40</v>
      </c>
      <c r="D27" s="2">
        <v>125</v>
      </c>
      <c r="E27" s="2" t="s">
        <v>43</v>
      </c>
      <c r="F27" s="2" t="s">
        <v>35</v>
      </c>
      <c r="G27" s="3">
        <v>10400</v>
      </c>
      <c r="H27" s="3">
        <f>D27*G27/200</f>
        <v>6500</v>
      </c>
    </row>
    <row r="28" spans="3:8" x14ac:dyDescent="0.35">
      <c r="C28" s="2" t="s">
        <v>49</v>
      </c>
      <c r="D28" s="2">
        <v>80</v>
      </c>
      <c r="E28" s="2" t="s">
        <v>43</v>
      </c>
      <c r="F28" s="2" t="s">
        <v>53</v>
      </c>
      <c r="G28" s="3">
        <v>12000</v>
      </c>
      <c r="H28" s="3">
        <f>D28*G28/300</f>
        <v>3200</v>
      </c>
    </row>
    <row r="29" spans="3:8" x14ac:dyDescent="0.35">
      <c r="C29" s="2" t="s">
        <v>50</v>
      </c>
      <c r="D29" s="2">
        <v>40</v>
      </c>
      <c r="E29" s="2" t="s">
        <v>7</v>
      </c>
      <c r="F29" s="2" t="s">
        <v>54</v>
      </c>
      <c r="G29" s="3">
        <v>2900</v>
      </c>
      <c r="H29" s="3">
        <f>D29*G29/1000</f>
        <v>116</v>
      </c>
    </row>
    <row r="30" spans="3:8" x14ac:dyDescent="0.35">
      <c r="C30" s="2" t="s">
        <v>51</v>
      </c>
      <c r="D30" s="2">
        <v>8</v>
      </c>
      <c r="E30" s="2" t="s">
        <v>43</v>
      </c>
      <c r="F30" s="2" t="s">
        <v>25</v>
      </c>
      <c r="G30" s="3">
        <v>1400</v>
      </c>
      <c r="H30" s="3">
        <f>D30*G30/60</f>
        <v>186.66666666666666</v>
      </c>
    </row>
    <row r="31" spans="3:8" x14ac:dyDescent="0.35">
      <c r="C31" s="2" t="s">
        <v>13</v>
      </c>
      <c r="D31" s="2">
        <v>8</v>
      </c>
      <c r="E31" s="2" t="s">
        <v>43</v>
      </c>
      <c r="F31" s="2" t="s">
        <v>25</v>
      </c>
      <c r="G31" s="3">
        <v>3200</v>
      </c>
      <c r="H31" s="3">
        <f>D31*G31/60</f>
        <v>426.66666666666669</v>
      </c>
    </row>
    <row r="32" spans="3:8" x14ac:dyDescent="0.35">
      <c r="C32" s="2" t="s">
        <v>20</v>
      </c>
      <c r="D32" s="2">
        <v>8</v>
      </c>
      <c r="E32" s="2" t="s">
        <v>43</v>
      </c>
      <c r="F32" s="2" t="s">
        <v>25</v>
      </c>
      <c r="G32" s="3">
        <v>2700</v>
      </c>
      <c r="H32" s="3">
        <f>D32*G32/60</f>
        <v>360</v>
      </c>
    </row>
    <row r="33" spans="3:8" ht="15" thickBot="1" x14ac:dyDescent="0.4">
      <c r="C33" s="2" t="s">
        <v>52</v>
      </c>
      <c r="D33" s="2">
        <v>100</v>
      </c>
      <c r="E33" s="2" t="s">
        <v>43</v>
      </c>
      <c r="F33" s="2" t="s">
        <v>48</v>
      </c>
      <c r="G33" s="3">
        <v>8000</v>
      </c>
      <c r="H33" s="3">
        <f>D33*G33/400</f>
        <v>2000</v>
      </c>
    </row>
    <row r="34" spans="3:8" ht="19" thickBot="1" x14ac:dyDescent="0.5">
      <c r="C34" s="42" t="s">
        <v>206</v>
      </c>
      <c r="D34" s="2"/>
      <c r="E34" s="2"/>
      <c r="F34" s="2"/>
      <c r="G34" s="20" t="s">
        <v>9</v>
      </c>
      <c r="H34" s="19">
        <f>SUM(H27:H33)</f>
        <v>12789.333333333332</v>
      </c>
    </row>
    <row r="35" spans="3:8" ht="18.5" x14ac:dyDescent="0.45">
      <c r="C35" s="43" t="s">
        <v>200</v>
      </c>
      <c r="D35" s="27">
        <v>361</v>
      </c>
      <c r="G35" s="35" t="s">
        <v>176</v>
      </c>
      <c r="H35" s="35">
        <v>2557</v>
      </c>
    </row>
    <row r="36" spans="3:8" x14ac:dyDescent="0.35">
      <c r="G36" s="21"/>
      <c r="H36" s="21"/>
    </row>
    <row r="37" spans="3:8" x14ac:dyDescent="0.35">
      <c r="G37" s="21"/>
      <c r="H37" s="21"/>
    </row>
    <row r="38" spans="3:8" x14ac:dyDescent="0.35">
      <c r="G38" s="21"/>
      <c r="H38" s="21"/>
    </row>
    <row r="39" spans="3:8" x14ac:dyDescent="0.35">
      <c r="C39" s="15" t="s">
        <v>95</v>
      </c>
      <c r="G39" s="21"/>
      <c r="H39" s="21"/>
    </row>
    <row r="40" spans="3:8" x14ac:dyDescent="0.35">
      <c r="C40" s="16" t="s">
        <v>103</v>
      </c>
      <c r="G40" s="21"/>
      <c r="H40" s="21"/>
    </row>
    <row r="41" spans="3:8" ht="15.5" x14ac:dyDescent="0.35">
      <c r="C41" s="1" t="s">
        <v>0</v>
      </c>
      <c r="D41" s="1" t="s">
        <v>1</v>
      </c>
      <c r="E41" s="1" t="s">
        <v>2</v>
      </c>
      <c r="F41" s="1" t="s">
        <v>38</v>
      </c>
      <c r="G41" s="22" t="s">
        <v>3</v>
      </c>
      <c r="H41" s="22" t="s">
        <v>39</v>
      </c>
    </row>
    <row r="42" spans="3:8" x14ac:dyDescent="0.35">
      <c r="C42" s="2" t="s">
        <v>91</v>
      </c>
      <c r="D42" s="2">
        <v>2</v>
      </c>
      <c r="E42" s="2" t="s">
        <v>58</v>
      </c>
      <c r="F42" s="2" t="s">
        <v>59</v>
      </c>
      <c r="G42" s="3">
        <v>500</v>
      </c>
      <c r="H42" s="3">
        <v>1000</v>
      </c>
    </row>
    <row r="43" spans="3:8" x14ac:dyDescent="0.35">
      <c r="C43" s="2" t="s">
        <v>92</v>
      </c>
      <c r="D43" s="2">
        <v>15</v>
      </c>
      <c r="E43" s="2" t="s">
        <v>43</v>
      </c>
      <c r="F43" s="2" t="s">
        <v>94</v>
      </c>
      <c r="G43" s="3">
        <v>1000</v>
      </c>
      <c r="H43" s="3">
        <f>D43*G43/50</f>
        <v>300</v>
      </c>
    </row>
    <row r="44" spans="3:8" x14ac:dyDescent="0.35">
      <c r="C44" s="2" t="s">
        <v>12</v>
      </c>
      <c r="D44" s="2">
        <v>5</v>
      </c>
      <c r="E44" s="2" t="s">
        <v>43</v>
      </c>
      <c r="F44" s="2" t="s">
        <v>27</v>
      </c>
      <c r="G44" s="3">
        <v>1500</v>
      </c>
      <c r="H44" s="3">
        <f>D44*G44/500</f>
        <v>15</v>
      </c>
    </row>
    <row r="45" spans="3:8" x14ac:dyDescent="0.35">
      <c r="C45" s="2" t="s">
        <v>20</v>
      </c>
      <c r="D45" s="2">
        <v>5</v>
      </c>
      <c r="E45" s="2" t="s">
        <v>43</v>
      </c>
      <c r="F45" s="2" t="s">
        <v>25</v>
      </c>
      <c r="G45" s="3">
        <v>2700</v>
      </c>
      <c r="H45" s="3">
        <f>D45*G45/60</f>
        <v>225</v>
      </c>
    </row>
    <row r="46" spans="3:8" x14ac:dyDescent="0.35">
      <c r="C46" s="2" t="s">
        <v>21</v>
      </c>
      <c r="D46" s="2">
        <v>5</v>
      </c>
      <c r="E46" s="2" t="s">
        <v>43</v>
      </c>
      <c r="F46" s="2" t="s">
        <v>26</v>
      </c>
      <c r="G46" s="3">
        <v>2200</v>
      </c>
      <c r="H46" s="3">
        <f>D46*G46/25</f>
        <v>440</v>
      </c>
    </row>
    <row r="47" spans="3:8" x14ac:dyDescent="0.35">
      <c r="C47" s="2" t="s">
        <v>93</v>
      </c>
      <c r="D47" s="2">
        <v>10</v>
      </c>
      <c r="E47" s="2" t="s">
        <v>43</v>
      </c>
      <c r="F47" s="2" t="s">
        <v>27</v>
      </c>
      <c r="G47" s="3">
        <v>13000</v>
      </c>
      <c r="H47" s="3">
        <f>D47*G47/500</f>
        <v>260</v>
      </c>
    </row>
    <row r="48" spans="3:8" ht="15" thickBot="1" x14ac:dyDescent="0.4">
      <c r="C48" s="2" t="s">
        <v>6</v>
      </c>
      <c r="D48" s="2">
        <v>300</v>
      </c>
      <c r="E48" s="2" t="s">
        <v>7</v>
      </c>
      <c r="F48" s="2" t="s">
        <v>36</v>
      </c>
      <c r="G48" s="3">
        <v>8500</v>
      </c>
      <c r="H48" s="3">
        <f>D48*G48/900</f>
        <v>2833.3333333333335</v>
      </c>
    </row>
    <row r="49" spans="3:8" ht="19" thickBot="1" x14ac:dyDescent="0.5">
      <c r="C49" s="2"/>
      <c r="D49" s="2"/>
      <c r="E49" s="2"/>
      <c r="F49" s="2"/>
      <c r="G49" s="20" t="s">
        <v>9</v>
      </c>
      <c r="H49" s="19">
        <f>SUM(H42:H48)</f>
        <v>5073.3333333333339</v>
      </c>
    </row>
    <row r="50" spans="3:8" x14ac:dyDescent="0.35">
      <c r="G50" s="21"/>
      <c r="H50" s="21"/>
    </row>
    <row r="51" spans="3:8" x14ac:dyDescent="0.35">
      <c r="C51" s="17" t="s">
        <v>96</v>
      </c>
      <c r="G51" s="21"/>
      <c r="H51" s="21"/>
    </row>
    <row r="52" spans="3:8" ht="15.5" x14ac:dyDescent="0.35">
      <c r="C52" s="1" t="s">
        <v>0</v>
      </c>
      <c r="D52" s="1" t="s">
        <v>1</v>
      </c>
      <c r="E52" s="1" t="s">
        <v>2</v>
      </c>
      <c r="F52" s="1" t="s">
        <v>38</v>
      </c>
      <c r="G52" s="22" t="s">
        <v>3</v>
      </c>
      <c r="H52" s="22" t="s">
        <v>39</v>
      </c>
    </row>
    <row r="53" spans="3:8" x14ac:dyDescent="0.35">
      <c r="C53" s="2" t="s">
        <v>97</v>
      </c>
      <c r="D53" s="2">
        <v>400</v>
      </c>
      <c r="E53" s="2" t="s">
        <v>43</v>
      </c>
      <c r="F53" s="2" t="s">
        <v>48</v>
      </c>
      <c r="G53" s="3">
        <v>5000</v>
      </c>
      <c r="H53" s="3">
        <f>D53*G53/400</f>
        <v>5000</v>
      </c>
    </row>
    <row r="54" spans="3:8" x14ac:dyDescent="0.35">
      <c r="C54" s="2" t="s">
        <v>98</v>
      </c>
      <c r="D54" s="2">
        <v>30</v>
      </c>
      <c r="E54" s="2" t="s">
        <v>43</v>
      </c>
      <c r="F54" s="2">
        <v>550</v>
      </c>
      <c r="G54" s="3">
        <v>7000</v>
      </c>
      <c r="H54" s="3">
        <f>D54*G54/550</f>
        <v>381.81818181818181</v>
      </c>
    </row>
    <row r="55" spans="3:8" x14ac:dyDescent="0.35">
      <c r="C55" s="2" t="s">
        <v>99</v>
      </c>
      <c r="D55" s="2">
        <v>45</v>
      </c>
      <c r="E55" s="2" t="s">
        <v>43</v>
      </c>
      <c r="F55" s="2">
        <v>200</v>
      </c>
      <c r="G55" s="3">
        <v>6000</v>
      </c>
      <c r="H55" s="3">
        <f>D55*G55/200</f>
        <v>1350</v>
      </c>
    </row>
    <row r="56" spans="3:8" x14ac:dyDescent="0.35">
      <c r="C56" s="2" t="s">
        <v>100</v>
      </c>
      <c r="D56" s="2">
        <v>75</v>
      </c>
      <c r="E56" s="2" t="s">
        <v>7</v>
      </c>
      <c r="F56" s="2">
        <v>1000</v>
      </c>
      <c r="G56" s="3">
        <v>2900</v>
      </c>
      <c r="H56" s="3">
        <f>D56*G56/1000</f>
        <v>217.5</v>
      </c>
    </row>
    <row r="57" spans="3:8" x14ac:dyDescent="0.35">
      <c r="C57" s="2" t="s">
        <v>101</v>
      </c>
      <c r="D57" s="2">
        <v>90</v>
      </c>
      <c r="E57" s="2" t="s">
        <v>7</v>
      </c>
      <c r="F57" s="2">
        <v>350</v>
      </c>
      <c r="G57" s="3">
        <v>9000</v>
      </c>
      <c r="H57" s="3">
        <f>D57*G57/350</f>
        <v>2314.2857142857142</v>
      </c>
    </row>
    <row r="58" spans="3:8" ht="15" thickBot="1" x14ac:dyDescent="0.4">
      <c r="C58" s="2" t="s">
        <v>102</v>
      </c>
      <c r="D58" s="2">
        <v>30</v>
      </c>
      <c r="E58" s="2" t="s">
        <v>7</v>
      </c>
      <c r="F58" s="2">
        <v>1000</v>
      </c>
      <c r="G58" s="3">
        <v>18000</v>
      </c>
      <c r="H58" s="3">
        <f>D58*G58/1000</f>
        <v>540</v>
      </c>
    </row>
    <row r="59" spans="3:8" ht="19" thickBot="1" x14ac:dyDescent="0.5">
      <c r="C59" s="42" t="s">
        <v>199</v>
      </c>
      <c r="D59" s="2"/>
      <c r="E59" s="2"/>
      <c r="F59" s="2"/>
      <c r="G59" s="20" t="s">
        <v>9</v>
      </c>
      <c r="H59" s="19">
        <f>SUM(H53:H58)</f>
        <v>9803.6038961038957</v>
      </c>
    </row>
    <row r="60" spans="3:8" ht="18.5" x14ac:dyDescent="0.45">
      <c r="C60" s="43" t="s">
        <v>200</v>
      </c>
      <c r="D60" s="36" t="s">
        <v>108</v>
      </c>
      <c r="G60" s="35" t="s">
        <v>9</v>
      </c>
      <c r="H60" s="35">
        <v>14876</v>
      </c>
    </row>
    <row r="61" spans="3:8" ht="18.5" x14ac:dyDescent="0.45">
      <c r="C61" s="41"/>
      <c r="G61" s="35" t="s">
        <v>176</v>
      </c>
      <c r="H61" s="35">
        <v>708</v>
      </c>
    </row>
    <row r="62" spans="3:8" x14ac:dyDescent="0.35">
      <c r="G62" s="21"/>
      <c r="H62" s="21"/>
    </row>
    <row r="63" spans="3:8" x14ac:dyDescent="0.35">
      <c r="G63" s="21"/>
      <c r="H63" s="21"/>
    </row>
    <row r="64" spans="3:8" x14ac:dyDescent="0.35">
      <c r="G64" s="21"/>
      <c r="H64" s="21"/>
    </row>
    <row r="65" spans="3:8" x14ac:dyDescent="0.35">
      <c r="C65" s="45" t="s">
        <v>208</v>
      </c>
      <c r="G65" s="21"/>
      <c r="H65" s="21"/>
    </row>
    <row r="66" spans="3:8" ht="15.5" x14ac:dyDescent="0.35">
      <c r="C66" s="1" t="s">
        <v>0</v>
      </c>
      <c r="D66" s="1" t="s">
        <v>1</v>
      </c>
      <c r="E66" s="1" t="s">
        <v>2</v>
      </c>
      <c r="F66" s="1" t="s">
        <v>38</v>
      </c>
      <c r="G66" s="22" t="s">
        <v>3</v>
      </c>
      <c r="H66" s="22" t="s">
        <v>39</v>
      </c>
    </row>
    <row r="67" spans="3:8" x14ac:dyDescent="0.35">
      <c r="C67" s="2" t="s">
        <v>166</v>
      </c>
      <c r="D67" s="2">
        <v>300</v>
      </c>
      <c r="E67" s="2" t="s">
        <v>43</v>
      </c>
      <c r="F67" s="2" t="s">
        <v>67</v>
      </c>
      <c r="G67" s="3">
        <v>3800</v>
      </c>
      <c r="H67" s="3">
        <f>D67*G67/100</f>
        <v>11400</v>
      </c>
    </row>
    <row r="68" spans="3:8" x14ac:dyDescent="0.35">
      <c r="C68" s="2" t="s">
        <v>167</v>
      </c>
      <c r="D68" s="2">
        <v>80</v>
      </c>
      <c r="E68" s="2" t="s">
        <v>43</v>
      </c>
      <c r="F68" s="2" t="s">
        <v>78</v>
      </c>
      <c r="G68" s="3">
        <v>1300</v>
      </c>
      <c r="H68" s="3">
        <f>D68*G68/150</f>
        <v>693.33333333333337</v>
      </c>
    </row>
    <row r="69" spans="3:8" x14ac:dyDescent="0.35">
      <c r="C69" s="2" t="s">
        <v>168</v>
      </c>
      <c r="D69" s="2">
        <v>20</v>
      </c>
      <c r="E69" s="2" t="s">
        <v>43</v>
      </c>
      <c r="F69" s="2" t="s">
        <v>67</v>
      </c>
      <c r="G69" s="3">
        <v>500</v>
      </c>
      <c r="H69" s="3">
        <f>D69*G69/100</f>
        <v>100</v>
      </c>
    </row>
    <row r="70" spans="3:8" x14ac:dyDescent="0.35">
      <c r="C70" s="2" t="s">
        <v>169</v>
      </c>
      <c r="D70" s="2">
        <v>40</v>
      </c>
      <c r="E70" s="2" t="s">
        <v>7</v>
      </c>
      <c r="F70" s="2" t="s">
        <v>174</v>
      </c>
      <c r="G70" s="3">
        <v>400</v>
      </c>
      <c r="H70" s="3">
        <f>D70*G70/45</f>
        <v>355.55555555555554</v>
      </c>
    </row>
    <row r="71" spans="3:8" x14ac:dyDescent="0.35">
      <c r="C71" s="2" t="s">
        <v>12</v>
      </c>
      <c r="D71" s="2">
        <v>5</v>
      </c>
      <c r="E71" s="2" t="s">
        <v>43</v>
      </c>
      <c r="F71" s="2" t="s">
        <v>27</v>
      </c>
      <c r="G71" s="3">
        <v>1500</v>
      </c>
      <c r="H71" s="3">
        <f>D71*G71/500</f>
        <v>15</v>
      </c>
    </row>
    <row r="72" spans="3:8" ht="15" thickBot="1" x14ac:dyDescent="0.4">
      <c r="C72" s="2" t="s">
        <v>20</v>
      </c>
      <c r="D72" s="2">
        <v>3</v>
      </c>
      <c r="E72" s="2" t="s">
        <v>43</v>
      </c>
      <c r="F72" s="2" t="s">
        <v>25</v>
      </c>
      <c r="G72" s="3">
        <v>2700</v>
      </c>
      <c r="H72" s="3">
        <f>D72*G72/60</f>
        <v>135</v>
      </c>
    </row>
    <row r="73" spans="3:8" ht="19" thickBot="1" x14ac:dyDescent="0.5">
      <c r="C73" s="42" t="s">
        <v>207</v>
      </c>
      <c r="D73" s="2"/>
      <c r="E73" s="2"/>
      <c r="F73" s="2"/>
      <c r="G73" s="20" t="s">
        <v>9</v>
      </c>
      <c r="H73" s="19">
        <f>SUM(H67:H72)</f>
        <v>12698.888888888889</v>
      </c>
    </row>
    <row r="74" spans="3:8" ht="18.5" x14ac:dyDescent="0.45">
      <c r="C74" s="43" t="s">
        <v>200</v>
      </c>
      <c r="D74" s="36" t="s">
        <v>209</v>
      </c>
      <c r="G74" s="35" t="s">
        <v>176</v>
      </c>
      <c r="H74" s="35">
        <v>2539</v>
      </c>
    </row>
    <row r="75" spans="3:8" x14ac:dyDescent="0.35">
      <c r="G75" s="21"/>
      <c r="H75" s="21"/>
    </row>
    <row r="76" spans="3:8" x14ac:dyDescent="0.35">
      <c r="G76" s="21"/>
      <c r="H76" s="21"/>
    </row>
    <row r="77" spans="3:8" x14ac:dyDescent="0.35">
      <c r="G77" s="21"/>
      <c r="H77" s="21"/>
    </row>
    <row r="78" spans="3:8" x14ac:dyDescent="0.35">
      <c r="G78" s="21"/>
      <c r="H78" s="21"/>
    </row>
    <row r="79" spans="3:8" x14ac:dyDescent="0.35">
      <c r="G79" s="21"/>
      <c r="H79" s="21"/>
    </row>
    <row r="80" spans="3:8" x14ac:dyDescent="0.35">
      <c r="G80" s="21"/>
      <c r="H80" s="21"/>
    </row>
    <row r="81" spans="3:8" x14ac:dyDescent="0.35">
      <c r="G81" s="21"/>
      <c r="H81" s="21"/>
    </row>
    <row r="82" spans="3:8" x14ac:dyDescent="0.35">
      <c r="C82" s="18" t="s">
        <v>211</v>
      </c>
      <c r="G82" s="21"/>
      <c r="H82" s="21"/>
    </row>
    <row r="83" spans="3:8" ht="15.5" x14ac:dyDescent="0.35">
      <c r="C83" s="1" t="s">
        <v>0</v>
      </c>
      <c r="D83" s="1" t="s">
        <v>1</v>
      </c>
      <c r="E83" s="1" t="s">
        <v>2</v>
      </c>
      <c r="F83" s="1" t="s">
        <v>38</v>
      </c>
      <c r="G83" s="22" t="s">
        <v>3</v>
      </c>
      <c r="H83" s="22" t="s">
        <v>39</v>
      </c>
    </row>
    <row r="84" spans="3:8" x14ac:dyDescent="0.35">
      <c r="C84" s="2" t="s">
        <v>170</v>
      </c>
      <c r="D84" s="2">
        <v>400</v>
      </c>
      <c r="E84" s="2" t="s">
        <v>43</v>
      </c>
      <c r="F84" s="2" t="s">
        <v>53</v>
      </c>
      <c r="G84" s="3">
        <v>3000</v>
      </c>
      <c r="H84" s="3">
        <f>D84*G84/300</f>
        <v>4000</v>
      </c>
    </row>
    <row r="85" spans="3:8" x14ac:dyDescent="0.35">
      <c r="C85" s="2" t="s">
        <v>171</v>
      </c>
      <c r="D85" s="2">
        <v>80</v>
      </c>
      <c r="E85" s="2" t="s">
        <v>43</v>
      </c>
      <c r="F85" s="2" t="s">
        <v>78</v>
      </c>
      <c r="G85" s="3">
        <v>1300</v>
      </c>
      <c r="H85" s="3">
        <f>D85*G85/150</f>
        <v>693.33333333333337</v>
      </c>
    </row>
    <row r="86" spans="3:8" x14ac:dyDescent="0.35">
      <c r="C86" s="2" t="s">
        <v>168</v>
      </c>
      <c r="D86" s="2">
        <v>20</v>
      </c>
      <c r="E86" s="2" t="s">
        <v>43</v>
      </c>
      <c r="F86" s="2" t="s">
        <v>67</v>
      </c>
      <c r="G86" s="3">
        <v>500</v>
      </c>
      <c r="H86" s="3">
        <f>D86*G86/100</f>
        <v>100</v>
      </c>
    </row>
    <row r="87" spans="3:8" x14ac:dyDescent="0.35">
      <c r="C87" s="2" t="s">
        <v>169</v>
      </c>
      <c r="D87" s="2">
        <v>40</v>
      </c>
      <c r="E87" s="2" t="s">
        <v>7</v>
      </c>
      <c r="F87" s="2" t="s">
        <v>174</v>
      </c>
      <c r="G87" s="3">
        <v>400</v>
      </c>
      <c r="H87" s="3">
        <f>D87*G87/45</f>
        <v>355.55555555555554</v>
      </c>
    </row>
    <row r="88" spans="3:8" x14ac:dyDescent="0.35">
      <c r="C88" s="2" t="s">
        <v>172</v>
      </c>
      <c r="D88" s="2">
        <v>5</v>
      </c>
      <c r="E88" s="2" t="s">
        <v>43</v>
      </c>
      <c r="F88" s="2" t="s">
        <v>27</v>
      </c>
      <c r="G88" s="3">
        <v>1500</v>
      </c>
      <c r="H88" s="3">
        <f>D88*G88/500</f>
        <v>15</v>
      </c>
    </row>
    <row r="89" spans="3:8" ht="15" thickBot="1" x14ac:dyDescent="0.4">
      <c r="C89" s="2" t="s">
        <v>173</v>
      </c>
      <c r="D89" s="2">
        <v>3</v>
      </c>
      <c r="E89" s="2" t="s">
        <v>43</v>
      </c>
      <c r="F89" s="2" t="s">
        <v>25</v>
      </c>
      <c r="G89" s="3">
        <v>2700</v>
      </c>
      <c r="H89" s="3">
        <f>D89*G89/60</f>
        <v>135</v>
      </c>
    </row>
    <row r="90" spans="3:8" ht="19" thickBot="1" x14ac:dyDescent="0.5">
      <c r="C90" s="42" t="s">
        <v>210</v>
      </c>
      <c r="D90" s="2"/>
      <c r="E90" s="2"/>
      <c r="F90" s="2"/>
      <c r="G90" s="20" t="s">
        <v>9</v>
      </c>
      <c r="H90" s="19">
        <f>SUM(H84:H89)</f>
        <v>5298.8888888888887</v>
      </c>
    </row>
    <row r="91" spans="3:8" ht="18.5" x14ac:dyDescent="0.45">
      <c r="C91" s="27" t="s">
        <v>200</v>
      </c>
      <c r="D91" s="27">
        <v>548</v>
      </c>
      <c r="G91" s="35" t="s">
        <v>176</v>
      </c>
      <c r="H91" s="35">
        <v>756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9E13-0EE2-420E-93DE-761CBC70E95B}">
  <dimension ref="C3:H124"/>
  <sheetViews>
    <sheetView zoomScale="106" zoomScaleNormal="100" workbookViewId="0">
      <selection activeCell="S48" sqref="S48"/>
    </sheetView>
  </sheetViews>
  <sheetFormatPr baseColWidth="10" defaultRowHeight="14.5" x14ac:dyDescent="0.35"/>
  <cols>
    <col min="3" max="3" width="41.36328125" customWidth="1"/>
    <col min="5" max="5" width="14.08984375" customWidth="1"/>
    <col min="6" max="6" width="22.6328125" customWidth="1"/>
    <col min="7" max="7" width="20.90625" customWidth="1"/>
    <col min="8" max="8" width="18.54296875" customWidth="1"/>
  </cols>
  <sheetData>
    <row r="3" spans="3:8" x14ac:dyDescent="0.35">
      <c r="C3" s="10" t="s">
        <v>179</v>
      </c>
    </row>
    <row r="4" spans="3:8" ht="15.5" x14ac:dyDescent="0.35">
      <c r="C4" s="1" t="s">
        <v>0</v>
      </c>
      <c r="D4" s="1" t="s">
        <v>1</v>
      </c>
      <c r="E4" s="1" t="s">
        <v>2</v>
      </c>
      <c r="F4" s="1" t="s">
        <v>38</v>
      </c>
      <c r="G4" s="1" t="s">
        <v>3</v>
      </c>
      <c r="H4" s="1" t="s">
        <v>39</v>
      </c>
    </row>
    <row r="5" spans="3:8" x14ac:dyDescent="0.35">
      <c r="C5" s="2" t="s">
        <v>79</v>
      </c>
      <c r="D5" s="2">
        <v>200</v>
      </c>
      <c r="E5" s="2" t="s">
        <v>43</v>
      </c>
      <c r="F5" s="2" t="s">
        <v>83</v>
      </c>
      <c r="G5" s="3">
        <v>17000</v>
      </c>
      <c r="H5" s="2">
        <f>D5*G5/600</f>
        <v>5666.666666666667</v>
      </c>
    </row>
    <row r="6" spans="3:8" x14ac:dyDescent="0.35">
      <c r="C6" s="2" t="s">
        <v>80</v>
      </c>
      <c r="D6" s="2">
        <v>100</v>
      </c>
      <c r="E6" s="2" t="s">
        <v>43</v>
      </c>
      <c r="F6" s="2" t="s">
        <v>84</v>
      </c>
      <c r="G6" s="3">
        <v>7200</v>
      </c>
      <c r="H6" s="2">
        <f>D6*G6/250</f>
        <v>2880</v>
      </c>
    </row>
    <row r="7" spans="3:8" x14ac:dyDescent="0.35">
      <c r="C7" s="2" t="s">
        <v>81</v>
      </c>
      <c r="D7" s="2">
        <v>80</v>
      </c>
      <c r="E7" s="2" t="s">
        <v>43</v>
      </c>
      <c r="F7" s="2" t="s">
        <v>67</v>
      </c>
      <c r="G7" s="3">
        <v>1000</v>
      </c>
      <c r="H7" s="2">
        <f>D7*G7/100</f>
        <v>800</v>
      </c>
    </row>
    <row r="8" spans="3:8" x14ac:dyDescent="0.35">
      <c r="C8" s="2" t="s">
        <v>75</v>
      </c>
      <c r="D8" s="2">
        <v>150</v>
      </c>
      <c r="E8" s="2" t="s">
        <v>7</v>
      </c>
      <c r="F8" s="2" t="s">
        <v>54</v>
      </c>
      <c r="G8" s="3">
        <v>15000</v>
      </c>
      <c r="H8" s="2">
        <f>D8*G8/1000</f>
        <v>2250</v>
      </c>
    </row>
    <row r="9" spans="3:8" x14ac:dyDescent="0.35">
      <c r="C9" s="2" t="s">
        <v>82</v>
      </c>
      <c r="D9" s="2">
        <v>100</v>
      </c>
      <c r="E9" s="2" t="s">
        <v>7</v>
      </c>
      <c r="F9" s="2" t="s">
        <v>85</v>
      </c>
      <c r="G9" s="3">
        <v>18500</v>
      </c>
      <c r="H9" s="2">
        <f>D9*G9/750</f>
        <v>2466.6666666666665</v>
      </c>
    </row>
    <row r="10" spans="3:8" x14ac:dyDescent="0.35">
      <c r="C10" s="2" t="s">
        <v>6</v>
      </c>
      <c r="D10" s="2">
        <v>15</v>
      </c>
      <c r="E10" s="2" t="s">
        <v>7</v>
      </c>
      <c r="F10" s="2" t="s">
        <v>36</v>
      </c>
      <c r="G10" s="3">
        <v>8500</v>
      </c>
      <c r="H10" s="2">
        <f>D10*G10/900</f>
        <v>141.66666666666666</v>
      </c>
    </row>
    <row r="11" spans="3:8" x14ac:dyDescent="0.35">
      <c r="C11" s="2" t="s">
        <v>12</v>
      </c>
      <c r="D11" s="2">
        <v>3</v>
      </c>
      <c r="E11" s="2" t="s">
        <v>43</v>
      </c>
      <c r="F11" s="2" t="s">
        <v>27</v>
      </c>
      <c r="G11" s="3">
        <v>1500</v>
      </c>
      <c r="H11" s="2">
        <f>D11*G11/500</f>
        <v>9</v>
      </c>
    </row>
    <row r="12" spans="3:8" ht="15" thickBot="1" x14ac:dyDescent="0.4">
      <c r="C12" s="2" t="s">
        <v>20</v>
      </c>
      <c r="D12" s="2">
        <v>3</v>
      </c>
      <c r="E12" s="2" t="s">
        <v>43</v>
      </c>
      <c r="F12" s="2" t="s">
        <v>25</v>
      </c>
      <c r="G12" s="3">
        <v>2700</v>
      </c>
      <c r="H12" s="2">
        <f>D12*G12/60</f>
        <v>135</v>
      </c>
    </row>
    <row r="13" spans="3:8" ht="19" thickBot="1" x14ac:dyDescent="0.5">
      <c r="C13" s="2"/>
      <c r="D13" s="2"/>
      <c r="E13" s="2"/>
      <c r="F13" s="2"/>
      <c r="G13" s="20" t="s">
        <v>9</v>
      </c>
      <c r="H13" s="19">
        <f>SUM(H5:H12)</f>
        <v>14349</v>
      </c>
    </row>
    <row r="14" spans="3:8" ht="18.5" x14ac:dyDescent="0.45">
      <c r="C14" s="32" t="s">
        <v>180</v>
      </c>
      <c r="D14" s="2"/>
      <c r="E14" s="2"/>
      <c r="F14" s="2"/>
      <c r="G14" s="30" t="s">
        <v>176</v>
      </c>
      <c r="H14" s="31">
        <v>2869</v>
      </c>
    </row>
    <row r="15" spans="3:8" x14ac:dyDescent="0.35">
      <c r="C15" s="33" t="s">
        <v>181</v>
      </c>
      <c r="D15" s="33" t="s">
        <v>158</v>
      </c>
      <c r="E15" s="2"/>
      <c r="F15" s="2"/>
      <c r="G15" s="13"/>
      <c r="H15" s="14"/>
    </row>
    <row r="16" spans="3:8" x14ac:dyDescent="0.35">
      <c r="G16" s="21"/>
      <c r="H16" s="21"/>
    </row>
    <row r="17" spans="3:8" x14ac:dyDescent="0.35">
      <c r="G17" s="21"/>
      <c r="H17" s="21"/>
    </row>
    <row r="18" spans="3:8" x14ac:dyDescent="0.35">
      <c r="G18" s="21"/>
      <c r="H18" s="21"/>
    </row>
    <row r="19" spans="3:8" x14ac:dyDescent="0.35">
      <c r="G19" s="21"/>
      <c r="H19" s="21"/>
    </row>
    <row r="20" spans="3:8" x14ac:dyDescent="0.35">
      <c r="C20" s="11" t="s">
        <v>183</v>
      </c>
      <c r="G20" s="21"/>
      <c r="H20" s="21"/>
    </row>
    <row r="21" spans="3:8" ht="15.5" x14ac:dyDescent="0.35">
      <c r="C21" s="1" t="s">
        <v>0</v>
      </c>
      <c r="D21" s="1" t="s">
        <v>1</v>
      </c>
      <c r="E21" s="1" t="s">
        <v>2</v>
      </c>
      <c r="F21" s="1" t="s">
        <v>38</v>
      </c>
      <c r="G21" s="22" t="s">
        <v>3</v>
      </c>
      <c r="H21" s="22" t="s">
        <v>39</v>
      </c>
    </row>
    <row r="22" spans="3:8" x14ac:dyDescent="0.35">
      <c r="C22" s="2" t="s">
        <v>86</v>
      </c>
      <c r="D22" s="2">
        <v>200</v>
      </c>
      <c r="E22" s="2" t="s">
        <v>43</v>
      </c>
      <c r="F22" s="2" t="s">
        <v>27</v>
      </c>
      <c r="G22" s="3">
        <v>16800</v>
      </c>
      <c r="H22" s="3">
        <f>D22*G22/500</f>
        <v>6720</v>
      </c>
    </row>
    <row r="23" spans="3:8" x14ac:dyDescent="0.35">
      <c r="C23" s="2" t="s">
        <v>80</v>
      </c>
      <c r="D23" s="2">
        <v>100</v>
      </c>
      <c r="E23" s="2" t="s">
        <v>43</v>
      </c>
      <c r="F23" s="2" t="s">
        <v>84</v>
      </c>
      <c r="G23" s="3">
        <v>7200</v>
      </c>
      <c r="H23" s="3">
        <f>D23*G23/250</f>
        <v>2880</v>
      </c>
    </row>
    <row r="24" spans="3:8" x14ac:dyDescent="0.35">
      <c r="C24" s="2" t="s">
        <v>81</v>
      </c>
      <c r="D24" s="2">
        <v>80</v>
      </c>
      <c r="E24" s="2" t="s">
        <v>43</v>
      </c>
      <c r="F24" s="2" t="s">
        <v>67</v>
      </c>
      <c r="G24" s="3">
        <v>1000</v>
      </c>
      <c r="H24" s="3">
        <f>D24*G24/100</f>
        <v>800</v>
      </c>
    </row>
    <row r="25" spans="3:8" x14ac:dyDescent="0.35">
      <c r="C25" s="2" t="s">
        <v>75</v>
      </c>
      <c r="D25" s="2">
        <v>150</v>
      </c>
      <c r="E25" s="2" t="s">
        <v>7</v>
      </c>
      <c r="F25" s="2" t="s">
        <v>54</v>
      </c>
      <c r="G25" s="3">
        <v>15000</v>
      </c>
      <c r="H25" s="3">
        <f>D25*G25/1000</f>
        <v>2250</v>
      </c>
    </row>
    <row r="26" spans="3:8" x14ac:dyDescent="0.35">
      <c r="C26" s="2" t="s">
        <v>82</v>
      </c>
      <c r="D26" s="2">
        <v>100</v>
      </c>
      <c r="E26" s="2" t="s">
        <v>7</v>
      </c>
      <c r="F26" s="2" t="s">
        <v>85</v>
      </c>
      <c r="G26" s="3">
        <v>18500</v>
      </c>
      <c r="H26" s="3">
        <f>D26*G26/750</f>
        <v>2466.6666666666665</v>
      </c>
    </row>
    <row r="27" spans="3:8" x14ac:dyDescent="0.35">
      <c r="C27" s="2" t="s">
        <v>6</v>
      </c>
      <c r="D27" s="2">
        <v>15</v>
      </c>
      <c r="E27" s="2" t="s">
        <v>7</v>
      </c>
      <c r="F27" s="2" t="s">
        <v>36</v>
      </c>
      <c r="G27" s="3">
        <v>8500</v>
      </c>
      <c r="H27" s="3">
        <f>D27*G27/900</f>
        <v>141.66666666666666</v>
      </c>
    </row>
    <row r="28" spans="3:8" x14ac:dyDescent="0.35">
      <c r="C28" s="2" t="s">
        <v>12</v>
      </c>
      <c r="D28" s="2">
        <v>3</v>
      </c>
      <c r="E28" s="2" t="s">
        <v>43</v>
      </c>
      <c r="F28" s="2" t="s">
        <v>27</v>
      </c>
      <c r="G28" s="3">
        <v>1500</v>
      </c>
      <c r="H28" s="3">
        <f>D28*G28/500</f>
        <v>9</v>
      </c>
    </row>
    <row r="29" spans="3:8" ht="15" thickBot="1" x14ac:dyDescent="0.4">
      <c r="C29" s="2" t="s">
        <v>20</v>
      </c>
      <c r="D29" s="2">
        <v>3</v>
      </c>
      <c r="E29" s="2" t="s">
        <v>43</v>
      </c>
      <c r="F29" s="2" t="s">
        <v>25</v>
      </c>
      <c r="G29" s="3">
        <v>2700</v>
      </c>
      <c r="H29" s="3">
        <f>D29*G29/60</f>
        <v>135</v>
      </c>
    </row>
    <row r="30" spans="3:8" ht="19" thickBot="1" x14ac:dyDescent="0.5">
      <c r="C30" s="32" t="s">
        <v>182</v>
      </c>
      <c r="D30" s="2"/>
      <c r="E30" s="2"/>
      <c r="F30" s="2"/>
      <c r="G30" s="20" t="s">
        <v>9</v>
      </c>
      <c r="H30" s="19">
        <f ca="1">SUM(H22:H31)</f>
        <v>15402.333333333332</v>
      </c>
    </row>
    <row r="31" spans="3:8" ht="18.5" x14ac:dyDescent="0.45">
      <c r="C31" s="33" t="s">
        <v>181</v>
      </c>
      <c r="D31" s="33" t="s">
        <v>158</v>
      </c>
      <c r="E31" s="2"/>
      <c r="F31" s="2"/>
      <c r="G31" s="30" t="s">
        <v>176</v>
      </c>
      <c r="H31" s="34">
        <v>3080</v>
      </c>
    </row>
    <row r="32" spans="3:8" x14ac:dyDescent="0.35">
      <c r="G32" s="21"/>
      <c r="H32" s="21"/>
    </row>
    <row r="33" spans="3:8" x14ac:dyDescent="0.35">
      <c r="G33" s="21"/>
      <c r="H33" s="21"/>
    </row>
    <row r="34" spans="3:8" x14ac:dyDescent="0.35">
      <c r="G34" s="21"/>
      <c r="H34" s="21"/>
    </row>
    <row r="35" spans="3:8" x14ac:dyDescent="0.35">
      <c r="G35" s="21"/>
      <c r="H35" s="21"/>
    </row>
    <row r="36" spans="3:8" x14ac:dyDescent="0.35">
      <c r="G36" s="21"/>
      <c r="H36" s="21"/>
    </row>
    <row r="37" spans="3:8" x14ac:dyDescent="0.35">
      <c r="G37" s="21"/>
      <c r="H37" s="21"/>
    </row>
    <row r="38" spans="3:8" x14ac:dyDescent="0.35">
      <c r="G38" s="21"/>
      <c r="H38" s="21"/>
    </row>
    <row r="39" spans="3:8" x14ac:dyDescent="0.35">
      <c r="G39" s="21"/>
      <c r="H39" s="21"/>
    </row>
    <row r="40" spans="3:8" x14ac:dyDescent="0.35">
      <c r="G40" s="21"/>
      <c r="H40" s="21"/>
    </row>
    <row r="41" spans="3:8" x14ac:dyDescent="0.35">
      <c r="C41" s="10" t="s">
        <v>184</v>
      </c>
      <c r="G41" s="21"/>
      <c r="H41" s="21"/>
    </row>
    <row r="42" spans="3:8" ht="15.5" x14ac:dyDescent="0.35">
      <c r="C42" s="1" t="s">
        <v>0</v>
      </c>
      <c r="D42" s="1" t="s">
        <v>1</v>
      </c>
      <c r="E42" s="1" t="s">
        <v>2</v>
      </c>
      <c r="F42" s="1" t="s">
        <v>38</v>
      </c>
      <c r="G42" s="22" t="s">
        <v>3</v>
      </c>
      <c r="H42" s="22" t="s">
        <v>39</v>
      </c>
    </row>
    <row r="43" spans="3:8" x14ac:dyDescent="0.35">
      <c r="C43" s="2" t="s">
        <v>87</v>
      </c>
      <c r="D43" s="2">
        <v>400</v>
      </c>
      <c r="E43" s="2" t="s">
        <v>43</v>
      </c>
      <c r="F43" s="2" t="s">
        <v>27</v>
      </c>
      <c r="G43" s="3">
        <v>12000</v>
      </c>
      <c r="H43" s="3">
        <f>D43*G43/500</f>
        <v>9600</v>
      </c>
    </row>
    <row r="44" spans="3:8" x14ac:dyDescent="0.35">
      <c r="C44" s="2" t="s">
        <v>88</v>
      </c>
      <c r="D44" s="2">
        <v>150</v>
      </c>
      <c r="E44" s="2" t="s">
        <v>43</v>
      </c>
      <c r="F44" s="2" t="s">
        <v>27</v>
      </c>
      <c r="G44" s="3">
        <v>6000</v>
      </c>
      <c r="H44" s="3">
        <f>D44*G44/500</f>
        <v>1800</v>
      </c>
    </row>
    <row r="45" spans="3:8" x14ac:dyDescent="0.35">
      <c r="C45" s="2" t="s">
        <v>89</v>
      </c>
      <c r="D45" s="2">
        <v>50</v>
      </c>
      <c r="E45" s="2" t="s">
        <v>7</v>
      </c>
      <c r="F45" s="2" t="s">
        <v>90</v>
      </c>
      <c r="G45" s="3">
        <v>2557</v>
      </c>
      <c r="H45" s="3">
        <f>D45*G45/80</f>
        <v>1598.125</v>
      </c>
    </row>
    <row r="46" spans="3:8" ht="15" thickBot="1" x14ac:dyDescent="0.4">
      <c r="C46" s="2" t="s">
        <v>6</v>
      </c>
      <c r="D46" s="2">
        <v>10</v>
      </c>
      <c r="E46" s="2" t="s">
        <v>7</v>
      </c>
      <c r="F46" s="2" t="s">
        <v>36</v>
      </c>
      <c r="G46" s="3">
        <v>8500</v>
      </c>
      <c r="H46" s="3">
        <f>D46*G46/900</f>
        <v>94.444444444444443</v>
      </c>
    </row>
    <row r="47" spans="3:8" ht="19" thickBot="1" x14ac:dyDescent="0.5">
      <c r="C47" s="32" t="s">
        <v>185</v>
      </c>
      <c r="D47" s="2"/>
      <c r="E47" s="2"/>
      <c r="F47" s="2"/>
      <c r="G47" s="20" t="s">
        <v>9</v>
      </c>
      <c r="H47" s="19">
        <f>SUM(H43:H46)</f>
        <v>13092.569444444445</v>
      </c>
    </row>
    <row r="48" spans="3:8" ht="18.5" x14ac:dyDescent="0.45">
      <c r="C48" s="27" t="s">
        <v>181</v>
      </c>
      <c r="D48" s="36" t="s">
        <v>186</v>
      </c>
      <c r="G48" s="35" t="s">
        <v>176</v>
      </c>
      <c r="H48" s="35">
        <v>3273</v>
      </c>
    </row>
    <row r="49" spans="3:8" x14ac:dyDescent="0.35">
      <c r="G49" s="21"/>
      <c r="H49" s="21"/>
    </row>
    <row r="50" spans="3:8" x14ac:dyDescent="0.35">
      <c r="G50" s="21"/>
      <c r="H50" s="21"/>
    </row>
    <row r="51" spans="3:8" x14ac:dyDescent="0.35">
      <c r="G51" s="21"/>
      <c r="H51" s="21"/>
    </row>
    <row r="52" spans="3:8" x14ac:dyDescent="0.35">
      <c r="G52" s="21"/>
      <c r="H52" s="21"/>
    </row>
    <row r="53" spans="3:8" x14ac:dyDescent="0.35">
      <c r="G53" s="21"/>
      <c r="H53" s="21"/>
    </row>
    <row r="54" spans="3:8" x14ac:dyDescent="0.35">
      <c r="G54" s="21"/>
      <c r="H54" s="21"/>
    </row>
    <row r="55" spans="3:8" x14ac:dyDescent="0.35">
      <c r="G55" s="21"/>
      <c r="H55" s="21"/>
    </row>
    <row r="56" spans="3:8" x14ac:dyDescent="0.35">
      <c r="G56" s="21"/>
      <c r="H56" s="21"/>
    </row>
    <row r="57" spans="3:8" x14ac:dyDescent="0.35">
      <c r="G57" s="21"/>
      <c r="H57" s="21"/>
    </row>
    <row r="58" spans="3:8" x14ac:dyDescent="0.35">
      <c r="G58" s="21"/>
      <c r="H58" s="21"/>
    </row>
    <row r="59" spans="3:8" x14ac:dyDescent="0.35">
      <c r="G59" s="21"/>
      <c r="H59" s="21"/>
    </row>
    <row r="60" spans="3:8" x14ac:dyDescent="0.35">
      <c r="G60" s="21"/>
      <c r="H60" s="21"/>
    </row>
    <row r="61" spans="3:8" x14ac:dyDescent="0.35">
      <c r="C61" s="11" t="s">
        <v>187</v>
      </c>
      <c r="G61" s="21"/>
      <c r="H61" s="21"/>
    </row>
    <row r="62" spans="3:8" ht="15.5" x14ac:dyDescent="0.35">
      <c r="C62" s="1" t="s">
        <v>0</v>
      </c>
      <c r="D62" s="1" t="s">
        <v>1</v>
      </c>
      <c r="E62" s="1" t="s">
        <v>2</v>
      </c>
      <c r="F62" s="1" t="s">
        <v>38</v>
      </c>
      <c r="G62" s="22" t="s">
        <v>3</v>
      </c>
      <c r="H62" s="22" t="s">
        <v>39</v>
      </c>
    </row>
    <row r="63" spans="3:8" x14ac:dyDescent="0.35">
      <c r="C63" s="2" t="s">
        <v>114</v>
      </c>
      <c r="D63" s="2">
        <v>320</v>
      </c>
      <c r="E63" s="2" t="s">
        <v>43</v>
      </c>
      <c r="F63" s="2" t="s">
        <v>119</v>
      </c>
      <c r="G63" s="3">
        <v>6000</v>
      </c>
      <c r="H63" s="3">
        <f>D63*G63/142</f>
        <v>13521.12676056338</v>
      </c>
    </row>
    <row r="64" spans="3:8" x14ac:dyDescent="0.35">
      <c r="C64" s="2" t="s">
        <v>115</v>
      </c>
      <c r="D64" s="2">
        <v>85</v>
      </c>
      <c r="E64" s="2" t="s">
        <v>43</v>
      </c>
      <c r="F64" s="2" t="s">
        <v>78</v>
      </c>
      <c r="G64" s="3">
        <v>1300</v>
      </c>
      <c r="H64" s="3">
        <f>D64*G64/150</f>
        <v>736.66666666666663</v>
      </c>
    </row>
    <row r="65" spans="3:8" x14ac:dyDescent="0.35">
      <c r="C65" s="2" t="s">
        <v>116</v>
      </c>
      <c r="D65" s="2">
        <v>85</v>
      </c>
      <c r="E65" s="2" t="s">
        <v>43</v>
      </c>
      <c r="F65" s="2" t="s">
        <v>27</v>
      </c>
      <c r="G65" s="3">
        <v>6000</v>
      </c>
      <c r="H65" s="3">
        <f>D65*G65/500</f>
        <v>1020</v>
      </c>
    </row>
    <row r="66" spans="3:8" x14ac:dyDescent="0.35">
      <c r="C66" s="2" t="s">
        <v>117</v>
      </c>
      <c r="D66" s="2">
        <v>12</v>
      </c>
      <c r="E66" s="2" t="s">
        <v>7</v>
      </c>
      <c r="F66" s="2" t="s">
        <v>67</v>
      </c>
      <c r="G66" s="3">
        <v>500</v>
      </c>
      <c r="H66" s="3">
        <f>D66*G66/100</f>
        <v>60</v>
      </c>
    </row>
    <row r="67" spans="3:8" x14ac:dyDescent="0.35">
      <c r="C67" s="2" t="s">
        <v>47</v>
      </c>
      <c r="D67" s="2">
        <v>42</v>
      </c>
      <c r="E67" s="2" t="s">
        <v>7</v>
      </c>
      <c r="F67" s="2" t="s">
        <v>48</v>
      </c>
      <c r="G67" s="3">
        <v>9000</v>
      </c>
      <c r="H67" s="3">
        <f>D67*G67/400</f>
        <v>945</v>
      </c>
    </row>
    <row r="68" spans="3:8" x14ac:dyDescent="0.35">
      <c r="C68" s="2" t="s">
        <v>46</v>
      </c>
      <c r="D68" s="2">
        <v>25</v>
      </c>
      <c r="E68" s="2" t="s">
        <v>7</v>
      </c>
      <c r="F68" s="2" t="s">
        <v>35</v>
      </c>
      <c r="G68" s="3">
        <v>6000</v>
      </c>
      <c r="H68" s="3">
        <f>D68*G68/200</f>
        <v>750</v>
      </c>
    </row>
    <row r="69" spans="3:8" x14ac:dyDescent="0.35">
      <c r="C69" s="2" t="s">
        <v>118</v>
      </c>
      <c r="D69" s="2">
        <v>55</v>
      </c>
      <c r="E69" s="2" t="s">
        <v>43</v>
      </c>
      <c r="F69" s="2" t="s">
        <v>27</v>
      </c>
      <c r="G69" s="3">
        <v>1500</v>
      </c>
      <c r="H69" s="3">
        <f>D69*G69/500</f>
        <v>165</v>
      </c>
    </row>
    <row r="70" spans="3:8" ht="15" thickBot="1" x14ac:dyDescent="0.4">
      <c r="C70" s="2" t="s">
        <v>93</v>
      </c>
      <c r="D70" s="2">
        <v>5</v>
      </c>
      <c r="E70" s="2" t="s">
        <v>43</v>
      </c>
      <c r="F70" s="2" t="s">
        <v>27</v>
      </c>
      <c r="G70" s="3">
        <v>13000</v>
      </c>
      <c r="H70" s="3">
        <f>D70*G70/500</f>
        <v>130</v>
      </c>
    </row>
    <row r="71" spans="3:8" ht="19" thickBot="1" x14ac:dyDescent="0.5">
      <c r="C71" s="32" t="s">
        <v>188</v>
      </c>
      <c r="D71" s="2"/>
      <c r="E71" s="2"/>
      <c r="F71" s="2"/>
      <c r="G71" s="20" t="s">
        <v>9</v>
      </c>
      <c r="H71" s="19">
        <f>SUM(H63:H70)</f>
        <v>17327.793427230048</v>
      </c>
    </row>
    <row r="72" spans="3:8" ht="18.5" x14ac:dyDescent="0.45">
      <c r="C72" s="33" t="s">
        <v>181</v>
      </c>
      <c r="D72" s="33" t="s">
        <v>159</v>
      </c>
      <c r="E72" s="2"/>
      <c r="F72" s="2"/>
      <c r="G72" s="38" t="s">
        <v>176</v>
      </c>
      <c r="H72" s="38">
        <v>3465</v>
      </c>
    </row>
    <row r="73" spans="3:8" x14ac:dyDescent="0.35">
      <c r="G73" s="21"/>
      <c r="H73" s="21"/>
    </row>
    <row r="74" spans="3:8" x14ac:dyDescent="0.35">
      <c r="G74" s="21"/>
      <c r="H74" s="21"/>
    </row>
    <row r="75" spans="3:8" x14ac:dyDescent="0.35">
      <c r="G75" s="21"/>
      <c r="H75" s="21"/>
    </row>
    <row r="76" spans="3:8" x14ac:dyDescent="0.35">
      <c r="G76" s="21"/>
      <c r="H76" s="21"/>
    </row>
    <row r="77" spans="3:8" x14ac:dyDescent="0.35">
      <c r="G77" s="21"/>
      <c r="H77" s="21"/>
    </row>
    <row r="78" spans="3:8" x14ac:dyDescent="0.35">
      <c r="G78" s="21"/>
      <c r="H78" s="21"/>
    </row>
    <row r="79" spans="3:8" x14ac:dyDescent="0.35">
      <c r="C79" s="10" t="s">
        <v>190</v>
      </c>
      <c r="G79" s="21"/>
      <c r="H79" s="21"/>
    </row>
    <row r="80" spans="3:8" ht="15.5" x14ac:dyDescent="0.35">
      <c r="C80" s="1" t="s">
        <v>0</v>
      </c>
      <c r="D80" s="1" t="s">
        <v>1</v>
      </c>
      <c r="E80" s="1" t="s">
        <v>2</v>
      </c>
      <c r="F80" s="1" t="s">
        <v>38</v>
      </c>
      <c r="G80" s="22" t="s">
        <v>3</v>
      </c>
      <c r="H80" s="22" t="s">
        <v>39</v>
      </c>
    </row>
    <row r="81" spans="3:8" x14ac:dyDescent="0.35">
      <c r="C81" s="2" t="s">
        <v>148</v>
      </c>
      <c r="D81" s="2">
        <v>110</v>
      </c>
      <c r="E81" s="2" t="s">
        <v>43</v>
      </c>
      <c r="F81" s="2" t="s">
        <v>34</v>
      </c>
      <c r="G81" s="3">
        <v>4000</v>
      </c>
      <c r="H81" s="3">
        <f>D81*G81/1000</f>
        <v>440</v>
      </c>
    </row>
    <row r="82" spans="3:8" x14ac:dyDescent="0.35">
      <c r="C82" s="2" t="s">
        <v>149</v>
      </c>
      <c r="D82" s="2">
        <v>80</v>
      </c>
      <c r="E82" s="2" t="s">
        <v>43</v>
      </c>
      <c r="F82" s="2" t="s">
        <v>156</v>
      </c>
      <c r="G82" s="3">
        <v>5000</v>
      </c>
      <c r="H82" s="3">
        <f>D82*G82/800</f>
        <v>500</v>
      </c>
    </row>
    <row r="83" spans="3:8" x14ac:dyDescent="0.35">
      <c r="C83" s="2" t="s">
        <v>150</v>
      </c>
      <c r="D83" s="2">
        <v>60</v>
      </c>
      <c r="E83" s="2" t="s">
        <v>43</v>
      </c>
      <c r="F83" s="2" t="s">
        <v>27</v>
      </c>
      <c r="G83" s="3">
        <v>800</v>
      </c>
      <c r="H83" s="3">
        <f>D83*G83/500</f>
        <v>96</v>
      </c>
    </row>
    <row r="84" spans="3:8" x14ac:dyDescent="0.35">
      <c r="C84" s="2" t="s">
        <v>157</v>
      </c>
      <c r="D84" s="2">
        <v>80</v>
      </c>
      <c r="E84" s="2" t="s">
        <v>43</v>
      </c>
      <c r="F84" s="2" t="s">
        <v>107</v>
      </c>
      <c r="G84" s="3">
        <v>1800</v>
      </c>
      <c r="H84" s="3">
        <f>D84*G84/130</f>
        <v>1107.6923076923076</v>
      </c>
    </row>
    <row r="85" spans="3:8" x14ac:dyDescent="0.35">
      <c r="C85" s="2" t="s">
        <v>47</v>
      </c>
      <c r="D85" s="2">
        <v>40</v>
      </c>
      <c r="E85" s="2" t="s">
        <v>43</v>
      </c>
      <c r="F85" s="2" t="s">
        <v>48</v>
      </c>
      <c r="G85" s="3">
        <v>9000</v>
      </c>
      <c r="H85" s="3">
        <f>D85*G85/400</f>
        <v>900</v>
      </c>
    </row>
    <row r="86" spans="3:8" x14ac:dyDescent="0.35">
      <c r="C86" s="2" t="s">
        <v>50</v>
      </c>
      <c r="D86" s="2">
        <v>10</v>
      </c>
      <c r="E86" s="2" t="s">
        <v>7</v>
      </c>
      <c r="F86" s="2" t="s">
        <v>54</v>
      </c>
      <c r="G86" s="3">
        <v>2900</v>
      </c>
      <c r="H86" s="3">
        <f>D86*G86/1000</f>
        <v>29</v>
      </c>
    </row>
    <row r="87" spans="3:8" x14ac:dyDescent="0.35">
      <c r="C87" s="2" t="s">
        <v>151</v>
      </c>
      <c r="D87" s="2">
        <v>30</v>
      </c>
      <c r="E87" s="2" t="s">
        <v>43</v>
      </c>
      <c r="F87" s="2" t="s">
        <v>34</v>
      </c>
      <c r="G87" s="3">
        <v>15000</v>
      </c>
      <c r="H87" s="3">
        <f>D87*G87/1000</f>
        <v>450</v>
      </c>
    </row>
    <row r="88" spans="3:8" x14ac:dyDescent="0.35">
      <c r="C88" s="2" t="s">
        <v>99</v>
      </c>
      <c r="D88" s="2">
        <v>10</v>
      </c>
      <c r="E88" s="2" t="s">
        <v>43</v>
      </c>
      <c r="F88" s="2" t="s">
        <v>35</v>
      </c>
      <c r="G88" s="3">
        <v>6000</v>
      </c>
      <c r="H88" s="3">
        <f>D88*G88/200</f>
        <v>300</v>
      </c>
    </row>
    <row r="89" spans="3:8" ht="15" thickBot="1" x14ac:dyDescent="0.4">
      <c r="C89" s="2" t="s">
        <v>41</v>
      </c>
      <c r="D89" s="2">
        <v>15</v>
      </c>
      <c r="E89" s="2" t="s">
        <v>43</v>
      </c>
      <c r="F89" s="2" t="s">
        <v>44</v>
      </c>
      <c r="G89" s="13">
        <v>9000</v>
      </c>
      <c r="H89" s="23">
        <f>D89*G89/350</f>
        <v>385.71428571428572</v>
      </c>
    </row>
    <row r="90" spans="3:8" ht="19" thickBot="1" x14ac:dyDescent="0.5">
      <c r="C90" s="32" t="s">
        <v>191</v>
      </c>
      <c r="D90" s="2"/>
      <c r="E90" s="2"/>
      <c r="F90" s="2"/>
      <c r="G90" s="20" t="s">
        <v>9</v>
      </c>
      <c r="H90" s="19">
        <f>SUM(H81:H89)</f>
        <v>4208.4065934065929</v>
      </c>
    </row>
    <row r="91" spans="3:8" ht="18.5" x14ac:dyDescent="0.45">
      <c r="C91" s="27" t="s">
        <v>181</v>
      </c>
      <c r="D91" s="36" t="s">
        <v>164</v>
      </c>
      <c r="G91" s="35" t="s">
        <v>176</v>
      </c>
      <c r="H91" s="35">
        <v>701</v>
      </c>
    </row>
    <row r="92" spans="3:8" x14ac:dyDescent="0.35">
      <c r="G92" s="21"/>
      <c r="H92" s="21"/>
    </row>
    <row r="93" spans="3:8" x14ac:dyDescent="0.35">
      <c r="G93" s="21"/>
      <c r="H93" s="21"/>
    </row>
    <row r="94" spans="3:8" x14ac:dyDescent="0.35">
      <c r="G94" s="21"/>
      <c r="H94" s="21"/>
    </row>
    <row r="95" spans="3:8" x14ac:dyDescent="0.35">
      <c r="G95" s="21"/>
      <c r="H95" s="21"/>
    </row>
    <row r="96" spans="3:8" x14ac:dyDescent="0.35">
      <c r="C96" s="11" t="s">
        <v>192</v>
      </c>
      <c r="G96" s="21"/>
      <c r="H96" s="21"/>
    </row>
    <row r="97" spans="3:8" ht="15.5" x14ac:dyDescent="0.35">
      <c r="C97" s="1" t="s">
        <v>0</v>
      </c>
      <c r="D97" s="1" t="s">
        <v>1</v>
      </c>
      <c r="E97" s="1" t="s">
        <v>2</v>
      </c>
      <c r="F97" s="1" t="s">
        <v>38</v>
      </c>
      <c r="G97" s="22" t="s">
        <v>3</v>
      </c>
      <c r="H97" s="22" t="s">
        <v>39</v>
      </c>
    </row>
    <row r="98" spans="3:8" x14ac:dyDescent="0.35">
      <c r="C98" s="2" t="s">
        <v>153</v>
      </c>
      <c r="D98" s="2">
        <v>600</v>
      </c>
      <c r="E98" s="2" t="s">
        <v>43</v>
      </c>
      <c r="F98" s="2" t="s">
        <v>83</v>
      </c>
      <c r="G98" s="3">
        <v>17000</v>
      </c>
      <c r="H98" s="3">
        <f>D98*G98/600</f>
        <v>17000</v>
      </c>
    </row>
    <row r="99" spans="3:8" x14ac:dyDescent="0.35">
      <c r="C99" s="2" t="s">
        <v>154</v>
      </c>
      <c r="D99" s="2">
        <v>40</v>
      </c>
      <c r="E99" s="2" t="s">
        <v>43</v>
      </c>
      <c r="F99" s="2" t="s">
        <v>67</v>
      </c>
      <c r="G99" s="3">
        <v>337</v>
      </c>
      <c r="H99" s="3">
        <f>D99*G99/100</f>
        <v>134.80000000000001</v>
      </c>
    </row>
    <row r="100" spans="3:8" x14ac:dyDescent="0.35">
      <c r="C100" s="2" t="s">
        <v>18</v>
      </c>
      <c r="D100" s="2">
        <v>100</v>
      </c>
      <c r="E100" s="2" t="s">
        <v>43</v>
      </c>
      <c r="F100" s="2" t="s">
        <v>27</v>
      </c>
      <c r="G100" s="3">
        <v>2000</v>
      </c>
      <c r="H100" s="3">
        <f>D100*G100/500</f>
        <v>400</v>
      </c>
    </row>
    <row r="101" spans="3:8" x14ac:dyDescent="0.35">
      <c r="C101" s="2" t="s">
        <v>31</v>
      </c>
      <c r="D101" s="2">
        <v>100</v>
      </c>
      <c r="E101" s="2" t="s">
        <v>43</v>
      </c>
      <c r="F101" s="2" t="s">
        <v>35</v>
      </c>
      <c r="G101" s="3">
        <v>7000</v>
      </c>
      <c r="H101" s="3">
        <f>D101*G101/200</f>
        <v>3500</v>
      </c>
    </row>
    <row r="102" spans="3:8" ht="15" thickBot="1" x14ac:dyDescent="0.4">
      <c r="C102" s="2" t="s">
        <v>6</v>
      </c>
      <c r="D102" s="2" t="s">
        <v>155</v>
      </c>
      <c r="E102" s="2" t="s">
        <v>155</v>
      </c>
      <c r="F102" s="2"/>
      <c r="G102" s="13"/>
      <c r="H102" s="23"/>
    </row>
    <row r="103" spans="3:8" ht="19" thickBot="1" x14ac:dyDescent="0.5">
      <c r="C103" s="39" t="s">
        <v>193</v>
      </c>
      <c r="G103" s="20" t="s">
        <v>9</v>
      </c>
      <c r="H103" s="19">
        <f>SUM(H98:H101)</f>
        <v>21034.799999999999</v>
      </c>
    </row>
    <row r="104" spans="3:8" ht="18.5" x14ac:dyDescent="0.45">
      <c r="C104" s="27" t="s">
        <v>194</v>
      </c>
      <c r="D104" s="40" t="s">
        <v>196</v>
      </c>
      <c r="G104" s="35" t="s">
        <v>195</v>
      </c>
      <c r="H104" s="35">
        <v>4206</v>
      </c>
    </row>
    <row r="105" spans="3:8" x14ac:dyDescent="0.35">
      <c r="G105" s="21"/>
      <c r="H105" s="21"/>
    </row>
    <row r="106" spans="3:8" x14ac:dyDescent="0.35">
      <c r="G106" s="21"/>
      <c r="H106" s="21"/>
    </row>
    <row r="107" spans="3:8" x14ac:dyDescent="0.35">
      <c r="G107" s="21"/>
      <c r="H107" s="21"/>
    </row>
    <row r="108" spans="3:8" x14ac:dyDescent="0.35">
      <c r="G108" s="21"/>
      <c r="H108" s="21"/>
    </row>
    <row r="109" spans="3:8" x14ac:dyDescent="0.35">
      <c r="G109" s="21"/>
      <c r="H109" s="21"/>
    </row>
    <row r="110" spans="3:8" x14ac:dyDescent="0.35">
      <c r="G110" s="21"/>
      <c r="H110" s="21"/>
    </row>
    <row r="111" spans="3:8" x14ac:dyDescent="0.35">
      <c r="G111" s="21"/>
      <c r="H111" s="21"/>
    </row>
    <row r="112" spans="3:8" x14ac:dyDescent="0.35">
      <c r="G112" s="21"/>
      <c r="H112" s="21"/>
    </row>
    <row r="113" spans="3:8" x14ac:dyDescent="0.35">
      <c r="G113" s="21"/>
      <c r="H113" s="21"/>
    </row>
    <row r="114" spans="3:8" x14ac:dyDescent="0.35">
      <c r="G114" s="21"/>
      <c r="H114" s="21"/>
    </row>
    <row r="115" spans="3:8" x14ac:dyDescent="0.35">
      <c r="G115" s="21"/>
      <c r="H115" s="21"/>
    </row>
    <row r="116" spans="3:8" x14ac:dyDescent="0.35">
      <c r="C116" s="10" t="s">
        <v>216</v>
      </c>
      <c r="G116" s="21"/>
      <c r="H116" s="21"/>
    </row>
    <row r="117" spans="3:8" ht="15.5" x14ac:dyDescent="0.35">
      <c r="C117" s="1" t="s">
        <v>0</v>
      </c>
      <c r="D117" s="1" t="s">
        <v>1</v>
      </c>
      <c r="E117" s="1" t="s">
        <v>2</v>
      </c>
      <c r="F117" s="1" t="s">
        <v>38</v>
      </c>
      <c r="G117" s="22" t="s">
        <v>3</v>
      </c>
      <c r="H117" s="22" t="s">
        <v>39</v>
      </c>
    </row>
    <row r="118" spans="3:8" x14ac:dyDescent="0.35">
      <c r="C118" s="2" t="s">
        <v>165</v>
      </c>
      <c r="D118" s="2">
        <v>200</v>
      </c>
      <c r="E118" s="2" t="s">
        <v>43</v>
      </c>
      <c r="F118" s="2" t="s">
        <v>27</v>
      </c>
      <c r="G118" s="3">
        <v>1500</v>
      </c>
      <c r="H118" s="3">
        <f>D118*G118/500</f>
        <v>600</v>
      </c>
    </row>
    <row r="119" spans="3:8" x14ac:dyDescent="0.35">
      <c r="C119" s="2" t="s">
        <v>6</v>
      </c>
      <c r="D119" s="2">
        <v>30</v>
      </c>
      <c r="E119" s="2" t="s">
        <v>7</v>
      </c>
      <c r="F119" s="2" t="s">
        <v>36</v>
      </c>
      <c r="G119" s="3">
        <v>8500</v>
      </c>
      <c r="H119" s="3">
        <f>D119*G119/9000</f>
        <v>28.333333333333332</v>
      </c>
    </row>
    <row r="120" spans="3:8" x14ac:dyDescent="0.35">
      <c r="C120" s="2" t="s">
        <v>12</v>
      </c>
      <c r="D120" s="2">
        <v>5</v>
      </c>
      <c r="E120" s="2" t="s">
        <v>43</v>
      </c>
      <c r="F120" s="2" t="s">
        <v>27</v>
      </c>
      <c r="G120" s="3">
        <v>1500</v>
      </c>
      <c r="H120" s="3">
        <f>D120*G120/500</f>
        <v>15</v>
      </c>
    </row>
    <row r="121" spans="3:8" x14ac:dyDescent="0.35">
      <c r="C121" s="2" t="s">
        <v>93</v>
      </c>
      <c r="D121" s="2">
        <v>10</v>
      </c>
      <c r="E121" s="2" t="s">
        <v>43</v>
      </c>
      <c r="F121" s="2" t="s">
        <v>27</v>
      </c>
      <c r="G121" s="3">
        <v>13000</v>
      </c>
      <c r="H121" s="3">
        <f>D121*G121/500</f>
        <v>260</v>
      </c>
    </row>
    <row r="122" spans="3:8" ht="15" thickBot="1" x14ac:dyDescent="0.4">
      <c r="C122" s="2" t="s">
        <v>17</v>
      </c>
      <c r="D122" s="2">
        <v>400</v>
      </c>
      <c r="E122" s="2" t="s">
        <v>7</v>
      </c>
      <c r="F122" s="2" t="s">
        <v>48</v>
      </c>
      <c r="G122" s="13">
        <v>0</v>
      </c>
      <c r="H122" s="3">
        <f>D122*G122</f>
        <v>0</v>
      </c>
    </row>
    <row r="123" spans="3:8" ht="19" thickBot="1" x14ac:dyDescent="0.5">
      <c r="C123" s="39" t="s">
        <v>215</v>
      </c>
      <c r="G123" s="20" t="s">
        <v>9</v>
      </c>
      <c r="H123" s="19">
        <f>SUM(H118:H121)</f>
        <v>903.33333333333337</v>
      </c>
    </row>
    <row r="124" spans="3:8" ht="18.5" x14ac:dyDescent="0.45">
      <c r="C124" s="46" t="s">
        <v>181</v>
      </c>
      <c r="D124" s="36" t="s">
        <v>83</v>
      </c>
      <c r="G124" s="24" t="s">
        <v>176</v>
      </c>
      <c r="H124" s="24">
        <v>150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B893-7FBE-4BB7-8F22-7F49B1982727}">
  <dimension ref="C4:H14"/>
  <sheetViews>
    <sheetView zoomScaleNormal="100" workbookViewId="0">
      <selection activeCell="H12" sqref="H12"/>
    </sheetView>
  </sheetViews>
  <sheetFormatPr baseColWidth="10" defaultRowHeight="14.5" x14ac:dyDescent="0.35"/>
  <cols>
    <col min="3" max="3" width="46.6328125" customWidth="1"/>
    <col min="6" max="6" width="21.36328125" customWidth="1"/>
    <col min="7" max="7" width="20.26953125" customWidth="1"/>
    <col min="8" max="8" width="19.54296875" customWidth="1"/>
  </cols>
  <sheetData>
    <row r="4" spans="3:8" x14ac:dyDescent="0.35">
      <c r="C4" s="11" t="s">
        <v>60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8" x14ac:dyDescent="0.35">
      <c r="C6" s="2" t="s">
        <v>18</v>
      </c>
      <c r="D6" s="2">
        <v>400</v>
      </c>
      <c r="E6" s="2" t="s">
        <v>43</v>
      </c>
      <c r="F6" s="2" t="s">
        <v>27</v>
      </c>
      <c r="G6" s="3">
        <v>2000</v>
      </c>
      <c r="H6" s="2">
        <f>D6*G6/500</f>
        <v>1600</v>
      </c>
    </row>
    <row r="7" spans="3:8" x14ac:dyDescent="0.35">
      <c r="C7" s="2" t="s">
        <v>55</v>
      </c>
      <c r="D7" s="2">
        <v>600</v>
      </c>
      <c r="E7" s="2" t="s">
        <v>7</v>
      </c>
      <c r="F7" s="2" t="s">
        <v>54</v>
      </c>
      <c r="G7" s="3">
        <v>3500</v>
      </c>
      <c r="H7" s="2">
        <f>D7*G7/1000</f>
        <v>2100</v>
      </c>
    </row>
    <row r="8" spans="3:8" x14ac:dyDescent="0.35">
      <c r="C8" s="2" t="s">
        <v>8</v>
      </c>
      <c r="D8" s="2">
        <v>3</v>
      </c>
      <c r="E8" s="2" t="s">
        <v>58</v>
      </c>
      <c r="F8" s="2" t="s">
        <v>59</v>
      </c>
      <c r="G8" s="3">
        <v>500</v>
      </c>
      <c r="H8" s="2">
        <f>D8*G8/1</f>
        <v>1500</v>
      </c>
    </row>
    <row r="9" spans="3:8" x14ac:dyDescent="0.35">
      <c r="C9" s="2" t="s">
        <v>56</v>
      </c>
      <c r="D9" s="2">
        <v>10</v>
      </c>
      <c r="E9" s="2" t="s">
        <v>43</v>
      </c>
      <c r="F9" s="2" t="s">
        <v>27</v>
      </c>
      <c r="G9" s="3">
        <v>4000</v>
      </c>
      <c r="H9" s="2">
        <f>D9*G9/500</f>
        <v>80</v>
      </c>
    </row>
    <row r="10" spans="3:8" x14ac:dyDescent="0.35">
      <c r="C10" s="2" t="s">
        <v>12</v>
      </c>
      <c r="D10" s="2">
        <v>10</v>
      </c>
      <c r="E10" s="2" t="s">
        <v>43</v>
      </c>
      <c r="F10" s="2" t="s">
        <v>27</v>
      </c>
      <c r="G10" s="3">
        <v>1500</v>
      </c>
      <c r="H10" s="2">
        <f>D10*G10/500</f>
        <v>30</v>
      </c>
    </row>
    <row r="11" spans="3:8" ht="15" thickBot="1" x14ac:dyDescent="0.4">
      <c r="C11" s="2" t="s">
        <v>57</v>
      </c>
      <c r="D11" s="2">
        <v>50</v>
      </c>
      <c r="E11" s="2" t="s">
        <v>7</v>
      </c>
      <c r="F11" s="2">
        <v>200</v>
      </c>
      <c r="G11" s="3">
        <v>10400</v>
      </c>
      <c r="H11" s="2">
        <f>D11*G11/200</f>
        <v>2600</v>
      </c>
    </row>
    <row r="12" spans="3:8" ht="19" thickBot="1" x14ac:dyDescent="0.5">
      <c r="C12" s="26" t="s">
        <v>177</v>
      </c>
      <c r="D12" s="8"/>
      <c r="E12" s="2"/>
      <c r="F12" s="2"/>
      <c r="G12" s="6" t="s">
        <v>175</v>
      </c>
      <c r="H12" s="19">
        <f>SUM(H6:H11)</f>
        <v>7910</v>
      </c>
    </row>
    <row r="13" spans="3:8" ht="21" x14ac:dyDescent="0.5">
      <c r="C13" s="27" t="s">
        <v>178</v>
      </c>
      <c r="D13" s="27">
        <v>1220</v>
      </c>
      <c r="E13" s="2"/>
      <c r="F13" s="2"/>
      <c r="G13" s="24" t="s">
        <v>176</v>
      </c>
      <c r="H13" s="25">
        <v>527</v>
      </c>
    </row>
    <row r="14" spans="3:8" x14ac:dyDescent="0.35">
      <c r="C14" s="13"/>
      <c r="D14" s="1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B1D3-333A-4012-907A-4DCB879B2379}">
  <dimension ref="C4:H30"/>
  <sheetViews>
    <sheetView zoomScaleNormal="100" workbookViewId="0">
      <selection activeCell="C28" sqref="C28"/>
    </sheetView>
  </sheetViews>
  <sheetFormatPr baseColWidth="10" defaultRowHeight="14.5" x14ac:dyDescent="0.35"/>
  <cols>
    <col min="2" max="2" width="6.6328125" customWidth="1"/>
    <col min="3" max="3" width="27.1796875" customWidth="1"/>
    <col min="4" max="4" width="16.6328125" customWidth="1"/>
    <col min="5" max="5" width="16.26953125" customWidth="1"/>
    <col min="6" max="6" width="22.26953125" customWidth="1"/>
    <col min="7" max="7" width="14.81640625" customWidth="1"/>
    <col min="8" max="8" width="21.36328125" customWidth="1"/>
  </cols>
  <sheetData>
    <row r="4" spans="3:8" x14ac:dyDescent="0.35">
      <c r="C4" s="10" t="s">
        <v>109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8" x14ac:dyDescent="0.35">
      <c r="C6" s="2" t="s">
        <v>62</v>
      </c>
      <c r="D6" s="2">
        <v>80</v>
      </c>
      <c r="E6" s="2" t="s">
        <v>43</v>
      </c>
      <c r="F6" s="2" t="s">
        <v>71</v>
      </c>
      <c r="G6" s="3">
        <v>7910</v>
      </c>
      <c r="H6" s="2">
        <f>D6*G6/1220</f>
        <v>518.68852459016398</v>
      </c>
    </row>
    <row r="7" spans="3:8" x14ac:dyDescent="0.35">
      <c r="C7" s="2" t="s">
        <v>105</v>
      </c>
      <c r="D7" s="2">
        <v>130</v>
      </c>
      <c r="E7" s="2" t="s">
        <v>43</v>
      </c>
      <c r="F7" s="2" t="s">
        <v>107</v>
      </c>
      <c r="G7" s="3">
        <v>2869</v>
      </c>
      <c r="H7" s="2">
        <f>D7*G7/130</f>
        <v>2869</v>
      </c>
    </row>
    <row r="8" spans="3:8" x14ac:dyDescent="0.35">
      <c r="C8" s="2" t="s">
        <v>125</v>
      </c>
      <c r="D8" s="2">
        <v>30</v>
      </c>
      <c r="E8" s="2" t="s">
        <v>218</v>
      </c>
      <c r="F8" s="2" t="s">
        <v>48</v>
      </c>
      <c r="G8" s="3">
        <v>10500</v>
      </c>
      <c r="H8" s="2">
        <f>D8*G8/400</f>
        <v>787.5</v>
      </c>
    </row>
    <row r="9" spans="3:8" ht="15" thickBot="1" x14ac:dyDescent="0.4">
      <c r="C9" s="2" t="s">
        <v>106</v>
      </c>
      <c r="D9" s="2">
        <v>30</v>
      </c>
      <c r="E9" s="2" t="s">
        <v>43</v>
      </c>
      <c r="F9" s="2" t="s">
        <v>104</v>
      </c>
      <c r="G9" s="3">
        <v>708</v>
      </c>
      <c r="H9" s="2">
        <f>D9*G9/30</f>
        <v>708</v>
      </c>
    </row>
    <row r="10" spans="3:8" ht="19" thickBot="1" x14ac:dyDescent="0.5">
      <c r="C10" s="2"/>
      <c r="D10" s="2"/>
      <c r="E10" s="2"/>
      <c r="F10" s="2"/>
      <c r="G10" s="20" t="s">
        <v>9</v>
      </c>
      <c r="H10" s="19">
        <f>SUM(H6:H9)</f>
        <v>4883.188524590164</v>
      </c>
    </row>
    <row r="11" spans="3:8" x14ac:dyDescent="0.35">
      <c r="C11" s="8" t="s">
        <v>45</v>
      </c>
      <c r="G11" s="21"/>
      <c r="H11" s="21"/>
    </row>
    <row r="12" spans="3:8" x14ac:dyDescent="0.35">
      <c r="G12" s="21"/>
      <c r="H12" s="21"/>
    </row>
    <row r="13" spans="3:8" x14ac:dyDescent="0.35">
      <c r="G13" s="21"/>
      <c r="H13" s="21"/>
    </row>
    <row r="14" spans="3:8" x14ac:dyDescent="0.35">
      <c r="C14" s="10" t="s">
        <v>111</v>
      </c>
      <c r="G14" s="21"/>
      <c r="H14" s="21"/>
    </row>
    <row r="15" spans="3:8" ht="15.5" x14ac:dyDescent="0.35">
      <c r="C15" s="1" t="s">
        <v>0</v>
      </c>
      <c r="D15" s="1" t="s">
        <v>1</v>
      </c>
      <c r="E15" s="1" t="s">
        <v>2</v>
      </c>
      <c r="F15" s="1" t="s">
        <v>38</v>
      </c>
      <c r="G15" s="22" t="s">
        <v>3</v>
      </c>
      <c r="H15" s="22" t="s">
        <v>39</v>
      </c>
    </row>
    <row r="16" spans="3:8" x14ac:dyDescent="0.35">
      <c r="C16" s="2" t="s">
        <v>62</v>
      </c>
      <c r="D16" s="2">
        <v>80</v>
      </c>
      <c r="E16" s="2" t="s">
        <v>43</v>
      </c>
      <c r="F16" s="2" t="s">
        <v>71</v>
      </c>
      <c r="G16" s="3">
        <v>7910</v>
      </c>
      <c r="H16" s="3">
        <f>D16*G16/1220</f>
        <v>518.68852459016398</v>
      </c>
    </row>
    <row r="17" spans="3:8" x14ac:dyDescent="0.35">
      <c r="C17" s="2" t="s">
        <v>110</v>
      </c>
      <c r="D17" s="2">
        <v>130</v>
      </c>
      <c r="E17" s="2" t="s">
        <v>43</v>
      </c>
      <c r="F17" s="2" t="s">
        <v>107</v>
      </c>
      <c r="G17" s="3">
        <v>3080</v>
      </c>
      <c r="H17" s="3">
        <f>D17*G17/130</f>
        <v>3080</v>
      </c>
    </row>
    <row r="18" spans="3:8" x14ac:dyDescent="0.35">
      <c r="C18" s="2" t="s">
        <v>125</v>
      </c>
      <c r="D18" s="2">
        <v>30</v>
      </c>
      <c r="E18" s="2" t="s">
        <v>218</v>
      </c>
      <c r="F18" s="2" t="s">
        <v>48</v>
      </c>
      <c r="G18" s="3">
        <v>10500</v>
      </c>
      <c r="H18" s="3">
        <f>D18*G18/400</f>
        <v>787.5</v>
      </c>
    </row>
    <row r="19" spans="3:8" ht="15" thickBot="1" x14ac:dyDescent="0.4">
      <c r="C19" s="2" t="s">
        <v>106</v>
      </c>
      <c r="D19" s="2">
        <v>30</v>
      </c>
      <c r="E19" s="2" t="s">
        <v>43</v>
      </c>
      <c r="F19" s="2" t="s">
        <v>104</v>
      </c>
      <c r="G19" s="3">
        <v>708</v>
      </c>
      <c r="H19" s="3">
        <f>D19*G19/30</f>
        <v>708</v>
      </c>
    </row>
    <row r="20" spans="3:8" ht="19" thickBot="1" x14ac:dyDescent="0.5">
      <c r="C20" s="2"/>
      <c r="D20" s="2"/>
      <c r="E20" s="2"/>
      <c r="F20" s="2"/>
      <c r="G20" s="20" t="s">
        <v>9</v>
      </c>
      <c r="H20" s="19">
        <f>SUM(H16:H19)</f>
        <v>5094.188524590164</v>
      </c>
    </row>
    <row r="21" spans="3:8" x14ac:dyDescent="0.35">
      <c r="G21" s="21"/>
      <c r="H21" s="21"/>
    </row>
    <row r="22" spans="3:8" x14ac:dyDescent="0.35">
      <c r="G22" s="21"/>
      <c r="H22" s="21"/>
    </row>
    <row r="23" spans="3:8" x14ac:dyDescent="0.35">
      <c r="G23" s="21"/>
      <c r="H23" s="21"/>
    </row>
    <row r="24" spans="3:8" x14ac:dyDescent="0.35">
      <c r="C24" s="10" t="s">
        <v>112</v>
      </c>
      <c r="G24" s="21"/>
      <c r="H24" s="21"/>
    </row>
    <row r="25" spans="3:8" ht="15.5" x14ac:dyDescent="0.35">
      <c r="C25" s="1" t="s">
        <v>0</v>
      </c>
      <c r="D25" s="1" t="s">
        <v>1</v>
      </c>
      <c r="E25" s="1" t="s">
        <v>2</v>
      </c>
      <c r="F25" s="1" t="s">
        <v>38</v>
      </c>
      <c r="G25" s="22" t="s">
        <v>3</v>
      </c>
      <c r="H25" s="22" t="s">
        <v>39</v>
      </c>
    </row>
    <row r="26" spans="3:8" x14ac:dyDescent="0.35">
      <c r="C26" s="2" t="s">
        <v>62</v>
      </c>
      <c r="D26" s="2">
        <v>80</v>
      </c>
      <c r="E26" s="2" t="s">
        <v>43</v>
      </c>
      <c r="F26" s="2" t="s">
        <v>71</v>
      </c>
      <c r="G26" s="3">
        <v>7910</v>
      </c>
      <c r="H26" s="3">
        <f>D26*G26/1220</f>
        <v>518.68852459016398</v>
      </c>
    </row>
    <row r="27" spans="3:8" x14ac:dyDescent="0.35">
      <c r="C27" s="2" t="s">
        <v>113</v>
      </c>
      <c r="D27" s="2">
        <v>150</v>
      </c>
      <c r="E27" s="2" t="s">
        <v>43</v>
      </c>
      <c r="F27" s="2" t="s">
        <v>78</v>
      </c>
      <c r="G27" s="3">
        <v>3273</v>
      </c>
      <c r="H27" s="3">
        <f>D27*G27/150</f>
        <v>3273</v>
      </c>
    </row>
    <row r="28" spans="3:8" x14ac:dyDescent="0.35">
      <c r="C28" s="2" t="s">
        <v>125</v>
      </c>
      <c r="D28" s="2">
        <v>30</v>
      </c>
      <c r="E28" s="2" t="s">
        <v>218</v>
      </c>
      <c r="F28" s="2" t="s">
        <v>48</v>
      </c>
      <c r="G28" s="3">
        <v>10500</v>
      </c>
      <c r="H28" s="3">
        <f>D28*G28/400</f>
        <v>787.5</v>
      </c>
    </row>
    <row r="29" spans="3:8" ht="15" thickBot="1" x14ac:dyDescent="0.4">
      <c r="C29" s="2" t="s">
        <v>106</v>
      </c>
      <c r="D29" s="2">
        <v>30</v>
      </c>
      <c r="E29" s="2" t="s">
        <v>43</v>
      </c>
      <c r="F29" s="2" t="s">
        <v>104</v>
      </c>
      <c r="G29" s="3">
        <v>708</v>
      </c>
      <c r="H29" s="3">
        <f>D29*G29/30</f>
        <v>708</v>
      </c>
    </row>
    <row r="30" spans="3:8" ht="19" thickBot="1" x14ac:dyDescent="0.5">
      <c r="C30" s="2"/>
      <c r="D30" s="2"/>
      <c r="E30" s="2"/>
      <c r="F30" s="2"/>
      <c r="G30" s="20" t="s">
        <v>9</v>
      </c>
      <c r="H30" s="19">
        <f>SUM(H26:H29)</f>
        <v>5287.188524590164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8799-ACA7-4750-8078-260D7C3229E5}">
  <dimension ref="C4:H35"/>
  <sheetViews>
    <sheetView zoomScaleNormal="100" workbookViewId="0">
      <selection activeCell="H42" sqref="H42"/>
    </sheetView>
  </sheetViews>
  <sheetFormatPr baseColWidth="10" defaultRowHeight="14.5" x14ac:dyDescent="0.35"/>
  <cols>
    <col min="2" max="2" width="9.6328125" customWidth="1"/>
    <col min="3" max="3" width="19.90625" customWidth="1"/>
    <col min="5" max="5" width="12.90625" customWidth="1"/>
    <col min="6" max="6" width="21" customWidth="1"/>
    <col min="7" max="7" width="16.1796875" customWidth="1"/>
    <col min="8" max="8" width="21.90625" customWidth="1"/>
  </cols>
  <sheetData>
    <row r="4" spans="3:8" x14ac:dyDescent="0.35">
      <c r="C4" s="10" t="s">
        <v>61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8" x14ac:dyDescent="0.35">
      <c r="C6" s="2" t="s">
        <v>62</v>
      </c>
      <c r="D6" s="2">
        <v>80</v>
      </c>
      <c r="E6" s="2" t="s">
        <v>43</v>
      </c>
      <c r="F6" s="2" t="s">
        <v>71</v>
      </c>
      <c r="G6" s="3">
        <v>7910</v>
      </c>
      <c r="H6" s="2">
        <f>D6*G6/1220</f>
        <v>518.68852459016398</v>
      </c>
    </row>
    <row r="7" spans="3:8" x14ac:dyDescent="0.35">
      <c r="C7" s="2" t="s">
        <v>63</v>
      </c>
      <c r="D7" s="2">
        <v>60</v>
      </c>
      <c r="E7" s="2" t="s">
        <v>43</v>
      </c>
      <c r="F7" s="2" t="s">
        <v>44</v>
      </c>
      <c r="G7" s="3">
        <v>13000</v>
      </c>
      <c r="H7" s="2">
        <f>D7*G7/350</f>
        <v>2228.5714285714284</v>
      </c>
    </row>
    <row r="8" spans="3:8" x14ac:dyDescent="0.35">
      <c r="C8" s="2" t="s">
        <v>66</v>
      </c>
      <c r="D8" s="2">
        <v>50</v>
      </c>
      <c r="E8" s="2" t="s">
        <v>43</v>
      </c>
      <c r="F8" s="2" t="s">
        <v>67</v>
      </c>
      <c r="G8" s="3">
        <v>600</v>
      </c>
      <c r="H8" s="2">
        <f>D8*G8/100</f>
        <v>300</v>
      </c>
    </row>
    <row r="9" spans="3:8" x14ac:dyDescent="0.35">
      <c r="C9" s="2" t="s">
        <v>64</v>
      </c>
      <c r="D9" s="2">
        <v>50</v>
      </c>
      <c r="E9" s="2" t="s">
        <v>43</v>
      </c>
      <c r="F9" s="2" t="s">
        <v>27</v>
      </c>
      <c r="G9" s="3">
        <v>6800</v>
      </c>
      <c r="H9" s="2">
        <f>D9*G9/500</f>
        <v>680</v>
      </c>
    </row>
    <row r="10" spans="3:8" ht="15" thickBot="1" x14ac:dyDescent="0.4">
      <c r="C10" s="2" t="s">
        <v>65</v>
      </c>
      <c r="D10" s="2">
        <v>15</v>
      </c>
      <c r="E10" s="2" t="s">
        <v>43</v>
      </c>
      <c r="F10" s="2" t="s">
        <v>53</v>
      </c>
      <c r="G10" s="3">
        <v>4000</v>
      </c>
      <c r="H10" s="2">
        <f>D10*G10/300</f>
        <v>200</v>
      </c>
    </row>
    <row r="11" spans="3:8" ht="19" thickBot="1" x14ac:dyDescent="0.5">
      <c r="C11" s="2"/>
      <c r="D11" s="2"/>
      <c r="E11" s="2"/>
      <c r="F11" s="2"/>
      <c r="G11" s="20" t="s">
        <v>9</v>
      </c>
      <c r="H11" s="19">
        <f>SUM(H6:H10)</f>
        <v>3927.2599531615924</v>
      </c>
    </row>
    <row r="12" spans="3:8" x14ac:dyDescent="0.35">
      <c r="G12" s="21"/>
      <c r="H12" s="21"/>
    </row>
    <row r="13" spans="3:8" x14ac:dyDescent="0.35">
      <c r="G13" s="21"/>
      <c r="H13" s="21"/>
    </row>
    <row r="14" spans="3:8" x14ac:dyDescent="0.35">
      <c r="G14" s="21"/>
      <c r="H14" s="21"/>
    </row>
    <row r="15" spans="3:8" x14ac:dyDescent="0.35">
      <c r="G15" s="21"/>
      <c r="H15" s="21"/>
    </row>
    <row r="16" spans="3:8" x14ac:dyDescent="0.35">
      <c r="G16" s="21"/>
      <c r="H16" s="21"/>
    </row>
    <row r="17" spans="3:8" x14ac:dyDescent="0.35">
      <c r="G17" s="21"/>
      <c r="H17" s="21"/>
    </row>
    <row r="18" spans="3:8" x14ac:dyDescent="0.35">
      <c r="G18" s="21"/>
      <c r="H18" s="21"/>
    </row>
    <row r="19" spans="3:8" x14ac:dyDescent="0.35">
      <c r="G19" s="21"/>
      <c r="H19" s="21"/>
    </row>
    <row r="20" spans="3:8" x14ac:dyDescent="0.35">
      <c r="C20" s="11" t="s">
        <v>73</v>
      </c>
      <c r="G20" s="21"/>
      <c r="H20" s="21"/>
    </row>
    <row r="21" spans="3:8" ht="15.5" x14ac:dyDescent="0.35">
      <c r="C21" s="1" t="s">
        <v>0</v>
      </c>
      <c r="D21" s="1" t="s">
        <v>1</v>
      </c>
      <c r="E21" s="1" t="s">
        <v>2</v>
      </c>
      <c r="F21" s="1" t="s">
        <v>38</v>
      </c>
      <c r="G21" s="22" t="s">
        <v>3</v>
      </c>
      <c r="H21" s="22" t="s">
        <v>39</v>
      </c>
    </row>
    <row r="22" spans="3:8" x14ac:dyDescent="0.35">
      <c r="C22" s="2" t="s">
        <v>62</v>
      </c>
      <c r="D22" s="2">
        <v>80</v>
      </c>
      <c r="E22" s="2" t="s">
        <v>43</v>
      </c>
      <c r="F22" s="2" t="s">
        <v>71</v>
      </c>
      <c r="G22" s="3">
        <v>7910</v>
      </c>
      <c r="H22" s="3">
        <f>D22*G22/1220</f>
        <v>518.68852459016398</v>
      </c>
    </row>
    <row r="23" spans="3:8" x14ac:dyDescent="0.35">
      <c r="C23" s="2" t="s">
        <v>68</v>
      </c>
      <c r="D23" s="2">
        <v>60</v>
      </c>
      <c r="E23" s="2" t="s">
        <v>43</v>
      </c>
      <c r="F23" s="2" t="s">
        <v>70</v>
      </c>
      <c r="G23" s="3">
        <v>9000</v>
      </c>
      <c r="H23" s="3">
        <f>D23*G23/280</f>
        <v>1928.5714285714287</v>
      </c>
    </row>
    <row r="24" spans="3:8" x14ac:dyDescent="0.35">
      <c r="C24" s="2" t="s">
        <v>69</v>
      </c>
      <c r="D24" s="2">
        <v>60</v>
      </c>
      <c r="E24" s="2" t="s">
        <v>43</v>
      </c>
      <c r="F24" s="2" t="s">
        <v>72</v>
      </c>
      <c r="G24" s="3">
        <v>9000</v>
      </c>
      <c r="H24" s="3">
        <f>D24*G24/369</f>
        <v>1463.4146341463415</v>
      </c>
    </row>
    <row r="25" spans="3:8" ht="15" thickBot="1" x14ac:dyDescent="0.4">
      <c r="C25" s="2" t="s">
        <v>65</v>
      </c>
      <c r="D25" s="2">
        <v>15</v>
      </c>
      <c r="E25" s="2" t="s">
        <v>43</v>
      </c>
      <c r="F25" s="2" t="s">
        <v>53</v>
      </c>
      <c r="G25" s="3">
        <v>4000</v>
      </c>
      <c r="H25" s="3">
        <f>D25*G25/300</f>
        <v>200</v>
      </c>
    </row>
    <row r="26" spans="3:8" ht="19" thickBot="1" x14ac:dyDescent="0.5">
      <c r="C26" s="2"/>
      <c r="D26" s="2"/>
      <c r="E26" s="2"/>
      <c r="F26" s="2"/>
      <c r="G26" s="20" t="s">
        <v>9</v>
      </c>
      <c r="H26" s="19">
        <f>SUM(H22:H25)</f>
        <v>4110.6745873079344</v>
      </c>
    </row>
    <row r="27" spans="3:8" x14ac:dyDescent="0.35">
      <c r="G27" s="21"/>
      <c r="H27" s="21"/>
    </row>
    <row r="28" spans="3:8" x14ac:dyDescent="0.35">
      <c r="C28" s="11" t="s">
        <v>74</v>
      </c>
      <c r="G28" s="21"/>
      <c r="H28" s="21"/>
    </row>
    <row r="29" spans="3:8" ht="15.5" x14ac:dyDescent="0.35">
      <c r="C29" s="1" t="s">
        <v>0</v>
      </c>
      <c r="D29" s="1" t="s">
        <v>1</v>
      </c>
      <c r="E29" s="1" t="s">
        <v>2</v>
      </c>
      <c r="F29" s="1" t="s">
        <v>38</v>
      </c>
      <c r="G29" s="22" t="s">
        <v>3</v>
      </c>
      <c r="H29" s="22" t="s">
        <v>39</v>
      </c>
    </row>
    <row r="30" spans="3:8" x14ac:dyDescent="0.35">
      <c r="C30" s="2" t="s">
        <v>75</v>
      </c>
      <c r="D30" s="2">
        <v>40</v>
      </c>
      <c r="E30" s="2" t="s">
        <v>7</v>
      </c>
      <c r="F30" s="2">
        <v>1000</v>
      </c>
      <c r="G30" s="3">
        <v>15000</v>
      </c>
      <c r="H30" s="3">
        <f>D30*G30/1000</f>
        <v>600</v>
      </c>
    </row>
    <row r="31" spans="3:8" x14ac:dyDescent="0.35">
      <c r="C31" s="2" t="s">
        <v>76</v>
      </c>
      <c r="D31" s="2">
        <v>3</v>
      </c>
      <c r="E31" s="2" t="s">
        <v>43</v>
      </c>
      <c r="F31" s="2" t="s">
        <v>78</v>
      </c>
      <c r="G31" s="3">
        <v>1000</v>
      </c>
      <c r="H31" s="3">
        <f>D31*G31/150</f>
        <v>20</v>
      </c>
    </row>
    <row r="32" spans="3:8" ht="15" thickBot="1" x14ac:dyDescent="0.4">
      <c r="C32" s="2" t="s">
        <v>77</v>
      </c>
      <c r="D32" s="2">
        <v>10</v>
      </c>
      <c r="E32" s="2" t="s">
        <v>7</v>
      </c>
      <c r="F32" s="2">
        <v>0</v>
      </c>
      <c r="G32" s="3">
        <v>0</v>
      </c>
      <c r="H32" s="3">
        <f>D32*G32/369</f>
        <v>0</v>
      </c>
    </row>
    <row r="33" spans="3:8" ht="19" thickBot="1" x14ac:dyDescent="0.5">
      <c r="C33" s="12"/>
      <c r="D33" s="12"/>
      <c r="E33" s="12"/>
      <c r="F33" s="12"/>
      <c r="G33" s="20" t="s">
        <v>9</v>
      </c>
      <c r="H33" s="19">
        <f>SUM(H29:H32)</f>
        <v>620</v>
      </c>
    </row>
    <row r="35" spans="3:8" ht="18.5" x14ac:dyDescent="0.45">
      <c r="G35" s="24" t="s">
        <v>214</v>
      </c>
      <c r="H35" s="24">
        <v>4730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3FCA-FA4B-4629-B720-265AE386A989}">
  <dimension ref="C4:H50"/>
  <sheetViews>
    <sheetView zoomScaleNormal="100" workbookViewId="0">
      <selection activeCell="E47" sqref="E47"/>
    </sheetView>
  </sheetViews>
  <sheetFormatPr baseColWidth="10" defaultRowHeight="14.5" x14ac:dyDescent="0.35"/>
  <cols>
    <col min="3" max="3" width="30.90625" customWidth="1"/>
    <col min="5" max="5" width="15.81640625" customWidth="1"/>
    <col min="6" max="6" width="20.453125" customWidth="1"/>
    <col min="7" max="7" width="18.6328125" customWidth="1"/>
    <col min="8" max="8" width="20.90625" customWidth="1"/>
  </cols>
  <sheetData>
    <row r="4" spans="3:8" x14ac:dyDescent="0.35">
      <c r="C4" s="10" t="s">
        <v>120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8" x14ac:dyDescent="0.35">
      <c r="C6" s="2" t="s">
        <v>123</v>
      </c>
      <c r="D6" s="2">
        <v>30</v>
      </c>
      <c r="E6" s="2" t="s">
        <v>43</v>
      </c>
      <c r="F6" s="2" t="s">
        <v>53</v>
      </c>
      <c r="G6" s="3">
        <v>5700</v>
      </c>
      <c r="H6" s="2">
        <f>D6*G6/300</f>
        <v>570</v>
      </c>
    </row>
    <row r="7" spans="3:8" x14ac:dyDescent="0.35">
      <c r="C7" s="2" t="s">
        <v>124</v>
      </c>
      <c r="D7" s="2">
        <v>130</v>
      </c>
      <c r="E7" s="2" t="s">
        <v>43</v>
      </c>
      <c r="F7" s="2" t="s">
        <v>107</v>
      </c>
      <c r="G7" s="3">
        <v>2869</v>
      </c>
      <c r="H7" s="2">
        <f>D7*G7/130</f>
        <v>2869</v>
      </c>
    </row>
    <row r="8" spans="3:8" x14ac:dyDescent="0.35">
      <c r="C8" s="2" t="s">
        <v>125</v>
      </c>
      <c r="D8" s="2">
        <v>30</v>
      </c>
      <c r="E8" s="2" t="s">
        <v>218</v>
      </c>
      <c r="F8" s="2" t="s">
        <v>48</v>
      </c>
      <c r="G8" s="3">
        <v>10500</v>
      </c>
      <c r="H8" s="2">
        <f>D8*G8/400</f>
        <v>787.5</v>
      </c>
    </row>
    <row r="9" spans="3:8" x14ac:dyDescent="0.35">
      <c r="C9" s="2" t="s">
        <v>126</v>
      </c>
      <c r="D9" s="2">
        <v>30</v>
      </c>
      <c r="E9" s="2" t="s">
        <v>43</v>
      </c>
      <c r="F9" s="2" t="s">
        <v>104</v>
      </c>
      <c r="G9" s="3">
        <v>708</v>
      </c>
      <c r="H9" s="2">
        <f>D9*G9/30</f>
        <v>708</v>
      </c>
    </row>
    <row r="10" spans="3:8" ht="15" thickBot="1" x14ac:dyDescent="0.4">
      <c r="C10" s="2" t="s">
        <v>40</v>
      </c>
      <c r="D10" s="2">
        <v>10</v>
      </c>
      <c r="E10" s="2" t="s">
        <v>43</v>
      </c>
      <c r="F10" s="2" t="s">
        <v>35</v>
      </c>
      <c r="G10" s="3">
        <v>10400</v>
      </c>
      <c r="H10" s="2">
        <f>D10*G10/200</f>
        <v>520</v>
      </c>
    </row>
    <row r="11" spans="3:8" ht="19" thickBot="1" x14ac:dyDescent="0.5">
      <c r="G11" s="20" t="s">
        <v>9</v>
      </c>
      <c r="H11" s="19">
        <f>SUM(H6:H10)</f>
        <v>5454.5</v>
      </c>
    </row>
    <row r="12" spans="3:8" ht="18.5" x14ac:dyDescent="0.45">
      <c r="G12" s="37"/>
      <c r="H12" s="37"/>
    </row>
    <row r="13" spans="3:8" ht="18.5" x14ac:dyDescent="0.45">
      <c r="G13" s="37"/>
      <c r="H13" s="37"/>
    </row>
    <row r="14" spans="3:8" ht="18.5" x14ac:dyDescent="0.45">
      <c r="G14" s="37"/>
      <c r="H14" s="37"/>
    </row>
    <row r="15" spans="3:8" ht="18.5" x14ac:dyDescent="0.45">
      <c r="G15" s="37"/>
      <c r="H15" s="37"/>
    </row>
    <row r="16" spans="3:8" ht="18.5" x14ac:dyDescent="0.45">
      <c r="G16" s="37"/>
      <c r="H16" s="37"/>
    </row>
    <row r="17" spans="3:8" ht="18.5" x14ac:dyDescent="0.45">
      <c r="G17" s="37"/>
      <c r="H17" s="37"/>
    </row>
    <row r="18" spans="3:8" x14ac:dyDescent="0.35">
      <c r="G18" s="21"/>
      <c r="H18" s="21"/>
    </row>
    <row r="19" spans="3:8" x14ac:dyDescent="0.35">
      <c r="G19" s="21"/>
      <c r="H19" s="21"/>
    </row>
    <row r="20" spans="3:8" x14ac:dyDescent="0.35">
      <c r="C20" s="10" t="s">
        <v>129</v>
      </c>
      <c r="G20" s="21"/>
      <c r="H20" s="21"/>
    </row>
    <row r="21" spans="3:8" ht="15.5" x14ac:dyDescent="0.35">
      <c r="C21" s="1" t="s">
        <v>0</v>
      </c>
      <c r="D21" s="1" t="s">
        <v>1</v>
      </c>
      <c r="E21" s="1" t="s">
        <v>2</v>
      </c>
      <c r="F21" s="1" t="s">
        <v>38</v>
      </c>
      <c r="G21" s="22" t="s">
        <v>3</v>
      </c>
      <c r="H21" s="22" t="s">
        <v>39</v>
      </c>
    </row>
    <row r="22" spans="3:8" x14ac:dyDescent="0.35">
      <c r="C22" s="2" t="s">
        <v>127</v>
      </c>
      <c r="D22" s="2">
        <v>30</v>
      </c>
      <c r="E22" s="2" t="s">
        <v>43</v>
      </c>
      <c r="F22" s="2" t="s">
        <v>53</v>
      </c>
      <c r="G22" s="3">
        <v>5700</v>
      </c>
      <c r="H22" s="3">
        <f>D22*G22/300</f>
        <v>570</v>
      </c>
    </row>
    <row r="23" spans="3:8" x14ac:dyDescent="0.35">
      <c r="C23" s="2" t="s">
        <v>110</v>
      </c>
      <c r="D23" s="2">
        <v>130</v>
      </c>
      <c r="E23" s="2" t="s">
        <v>43</v>
      </c>
      <c r="F23" s="2" t="s">
        <v>107</v>
      </c>
      <c r="G23" s="3">
        <v>3080</v>
      </c>
      <c r="H23" s="3">
        <f>D23*G23/130</f>
        <v>3080</v>
      </c>
    </row>
    <row r="24" spans="3:8" x14ac:dyDescent="0.35">
      <c r="C24" s="2" t="s">
        <v>128</v>
      </c>
      <c r="D24" s="2">
        <v>30</v>
      </c>
      <c r="E24" s="2" t="s">
        <v>218</v>
      </c>
      <c r="F24" s="2" t="s">
        <v>48</v>
      </c>
      <c r="G24" s="3">
        <v>10500</v>
      </c>
      <c r="H24" s="3">
        <f>D24*G24/400</f>
        <v>787.5</v>
      </c>
    </row>
    <row r="25" spans="3:8" x14ac:dyDescent="0.35">
      <c r="C25" s="2" t="s">
        <v>106</v>
      </c>
      <c r="D25" s="2">
        <v>30</v>
      </c>
      <c r="E25" s="2" t="s">
        <v>43</v>
      </c>
      <c r="F25" s="2" t="s">
        <v>104</v>
      </c>
      <c r="G25" s="3">
        <v>708</v>
      </c>
      <c r="H25" s="3">
        <f>D25*G25/30</f>
        <v>708</v>
      </c>
    </row>
    <row r="26" spans="3:8" ht="15" thickBot="1" x14ac:dyDescent="0.4">
      <c r="C26" s="2" t="s">
        <v>40</v>
      </c>
      <c r="D26" s="2">
        <v>10</v>
      </c>
      <c r="E26" s="2" t="s">
        <v>43</v>
      </c>
      <c r="F26" s="2" t="s">
        <v>35</v>
      </c>
      <c r="G26" s="3">
        <v>10400</v>
      </c>
      <c r="H26" s="3">
        <f>D26*G26/200</f>
        <v>520</v>
      </c>
    </row>
    <row r="27" spans="3:8" ht="19" thickBot="1" x14ac:dyDescent="0.5">
      <c r="G27" s="20" t="s">
        <v>9</v>
      </c>
      <c r="H27" s="19">
        <f>SUM(H22:H26)</f>
        <v>5665.5</v>
      </c>
    </row>
    <row r="41" spans="3:8" x14ac:dyDescent="0.35">
      <c r="C41" t="s">
        <v>121</v>
      </c>
    </row>
    <row r="42" spans="3:8" x14ac:dyDescent="0.35">
      <c r="C42" t="s">
        <v>122</v>
      </c>
    </row>
    <row r="43" spans="3:8" x14ac:dyDescent="0.35">
      <c r="C43" s="10" t="s">
        <v>130</v>
      </c>
    </row>
    <row r="44" spans="3:8" ht="15.5" x14ac:dyDescent="0.35">
      <c r="C44" s="1" t="s">
        <v>0</v>
      </c>
      <c r="D44" s="1" t="s">
        <v>1</v>
      </c>
      <c r="E44" s="1" t="s">
        <v>2</v>
      </c>
      <c r="F44" s="1" t="s">
        <v>38</v>
      </c>
      <c r="G44" s="1" t="s">
        <v>3</v>
      </c>
      <c r="H44" s="1" t="s">
        <v>39</v>
      </c>
    </row>
    <row r="45" spans="3:8" x14ac:dyDescent="0.35">
      <c r="C45" s="2" t="s">
        <v>131</v>
      </c>
      <c r="D45" s="2">
        <v>30</v>
      </c>
      <c r="E45" s="2" t="s">
        <v>43</v>
      </c>
      <c r="F45" s="2" t="s">
        <v>53</v>
      </c>
      <c r="G45" s="3">
        <v>5700</v>
      </c>
      <c r="H45" s="2">
        <f>D45*G45/300</f>
        <v>570</v>
      </c>
    </row>
    <row r="46" spans="3:8" x14ac:dyDescent="0.35">
      <c r="C46" s="2" t="s">
        <v>132</v>
      </c>
      <c r="D46" s="2">
        <v>125</v>
      </c>
      <c r="E46" s="2" t="s">
        <v>43</v>
      </c>
      <c r="F46" s="2" t="s">
        <v>189</v>
      </c>
      <c r="G46" s="3">
        <v>3465</v>
      </c>
      <c r="H46" s="2">
        <f>D46*G46/125</f>
        <v>3465</v>
      </c>
    </row>
    <row r="47" spans="3:8" x14ac:dyDescent="0.35">
      <c r="C47" s="2" t="s">
        <v>133</v>
      </c>
      <c r="D47" s="2">
        <v>30</v>
      </c>
      <c r="E47" s="2" t="s">
        <v>218</v>
      </c>
      <c r="F47" s="2" t="s">
        <v>48</v>
      </c>
      <c r="G47" s="3">
        <v>10500</v>
      </c>
      <c r="H47" s="2">
        <f>D47*G47/400</f>
        <v>787.5</v>
      </c>
    </row>
    <row r="48" spans="3:8" x14ac:dyDescent="0.35">
      <c r="C48" s="2" t="s">
        <v>106</v>
      </c>
      <c r="D48" s="2">
        <v>30</v>
      </c>
      <c r="E48" s="2" t="s">
        <v>43</v>
      </c>
      <c r="F48" s="2" t="s">
        <v>104</v>
      </c>
      <c r="G48" s="3">
        <v>708</v>
      </c>
      <c r="H48" s="2">
        <f>D48*G48/30</f>
        <v>708</v>
      </c>
    </row>
    <row r="49" spans="3:8" ht="15" thickBot="1" x14ac:dyDescent="0.4">
      <c r="C49" s="2" t="s">
        <v>134</v>
      </c>
      <c r="D49" s="2">
        <v>10</v>
      </c>
      <c r="E49" s="2" t="s">
        <v>43</v>
      </c>
      <c r="F49" s="2" t="s">
        <v>35</v>
      </c>
      <c r="G49" s="3">
        <v>10400</v>
      </c>
      <c r="H49" s="2">
        <f>D49*G49/200</f>
        <v>520</v>
      </c>
    </row>
    <row r="50" spans="3:8" ht="19" thickBot="1" x14ac:dyDescent="0.5">
      <c r="G50" s="6" t="s">
        <v>9</v>
      </c>
      <c r="H50" s="7">
        <f>SUM(H45:H49)</f>
        <v>6050.5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F861-3E1F-4341-8CA4-14F13E1AEFFF}">
  <dimension ref="C4:H42"/>
  <sheetViews>
    <sheetView zoomScaleNormal="100" workbookViewId="0">
      <selection activeCell="E38" sqref="E38"/>
    </sheetView>
  </sheetViews>
  <sheetFormatPr baseColWidth="10" defaultRowHeight="14.5" x14ac:dyDescent="0.35"/>
  <cols>
    <col min="3" max="3" width="22.54296875" customWidth="1"/>
    <col min="4" max="4" width="10.7265625" customWidth="1"/>
    <col min="5" max="5" width="14.90625" customWidth="1"/>
    <col min="6" max="6" width="20.90625" customWidth="1"/>
    <col min="7" max="7" width="18.1796875" customWidth="1"/>
    <col min="8" max="8" width="22.08984375" customWidth="1"/>
  </cols>
  <sheetData>
    <row r="4" spans="3:8" x14ac:dyDescent="0.35">
      <c r="C4" s="10" t="s">
        <v>213</v>
      </c>
    </row>
    <row r="5" spans="3:8" ht="15.5" x14ac:dyDescent="0.35">
      <c r="C5" s="1" t="s">
        <v>0</v>
      </c>
      <c r="D5" s="1" t="s">
        <v>1</v>
      </c>
      <c r="E5" s="1" t="s">
        <v>2</v>
      </c>
      <c r="F5" s="1" t="s">
        <v>38</v>
      </c>
      <c r="G5" s="1" t="s">
        <v>3</v>
      </c>
      <c r="H5" s="1" t="s">
        <v>39</v>
      </c>
    </row>
    <row r="6" spans="3:8" x14ac:dyDescent="0.35">
      <c r="C6" s="2" t="s">
        <v>135</v>
      </c>
      <c r="D6" s="2">
        <v>150</v>
      </c>
      <c r="E6" s="2" t="s">
        <v>43</v>
      </c>
      <c r="F6" s="2" t="s">
        <v>27</v>
      </c>
      <c r="G6" s="3">
        <v>12000</v>
      </c>
      <c r="H6" s="2">
        <f>D6*G6/500</f>
        <v>3600</v>
      </c>
    </row>
    <row r="7" spans="3:8" x14ac:dyDescent="0.35">
      <c r="C7" s="2" t="s">
        <v>136</v>
      </c>
      <c r="D7" s="2">
        <v>50</v>
      </c>
      <c r="E7" s="2" t="s">
        <v>43</v>
      </c>
      <c r="F7" s="2" t="s">
        <v>146</v>
      </c>
      <c r="G7" s="3">
        <v>2500</v>
      </c>
      <c r="H7" s="2">
        <f>D7*G7/320</f>
        <v>390.625</v>
      </c>
    </row>
    <row r="8" spans="3:8" x14ac:dyDescent="0.35">
      <c r="C8" s="2" t="s">
        <v>128</v>
      </c>
      <c r="D8" s="2">
        <v>15</v>
      </c>
      <c r="E8" s="2" t="s">
        <v>217</v>
      </c>
      <c r="F8" s="2" t="s">
        <v>48</v>
      </c>
      <c r="G8" s="3">
        <v>10500</v>
      </c>
      <c r="H8" s="2">
        <f>D8*G8/400</f>
        <v>393.75</v>
      </c>
    </row>
    <row r="9" spans="3:8" x14ac:dyDescent="0.35">
      <c r="C9" s="2" t="s">
        <v>137</v>
      </c>
      <c r="D9" s="2">
        <v>40</v>
      </c>
      <c r="E9" s="2" t="s">
        <v>143</v>
      </c>
      <c r="F9" s="2" t="s">
        <v>78</v>
      </c>
      <c r="G9" s="3">
        <v>6600</v>
      </c>
      <c r="H9" s="2">
        <f>D9*G9/150</f>
        <v>1760</v>
      </c>
    </row>
    <row r="10" spans="3:8" x14ac:dyDescent="0.35">
      <c r="C10" s="2" t="s">
        <v>138</v>
      </c>
      <c r="D10" s="2">
        <v>45</v>
      </c>
      <c r="E10" s="2" t="s">
        <v>43</v>
      </c>
      <c r="F10" s="2" t="s">
        <v>67</v>
      </c>
      <c r="G10" s="3">
        <v>1000</v>
      </c>
      <c r="H10" s="2">
        <f>D10*G10/100</f>
        <v>450</v>
      </c>
    </row>
    <row r="11" spans="3:8" x14ac:dyDescent="0.35">
      <c r="C11" s="2" t="s">
        <v>139</v>
      </c>
      <c r="D11" s="2">
        <v>5</v>
      </c>
      <c r="E11" s="2" t="s">
        <v>43</v>
      </c>
      <c r="F11" s="2" t="s">
        <v>27</v>
      </c>
      <c r="G11" s="3">
        <v>4000</v>
      </c>
      <c r="H11" s="2">
        <f>D11*G11/500</f>
        <v>40</v>
      </c>
    </row>
    <row r="12" spans="3:8" x14ac:dyDescent="0.35">
      <c r="C12" s="2" t="s">
        <v>140</v>
      </c>
      <c r="D12" s="2">
        <v>20</v>
      </c>
      <c r="E12" s="2" t="s">
        <v>144</v>
      </c>
      <c r="F12" s="2" t="s">
        <v>67</v>
      </c>
      <c r="G12" s="3">
        <v>3800</v>
      </c>
      <c r="H12" s="2">
        <f>D12*G12/100</f>
        <v>760</v>
      </c>
    </row>
    <row r="13" spans="3:8" x14ac:dyDescent="0.35">
      <c r="C13" s="2" t="s">
        <v>141</v>
      </c>
      <c r="D13" s="2">
        <v>5</v>
      </c>
      <c r="E13" s="2" t="s">
        <v>145</v>
      </c>
      <c r="F13" s="2" t="s">
        <v>147</v>
      </c>
      <c r="G13" s="3">
        <v>2300</v>
      </c>
      <c r="H13" s="2">
        <f>D13*G13/180</f>
        <v>63.888888888888886</v>
      </c>
    </row>
    <row r="14" spans="3:8" x14ac:dyDescent="0.35">
      <c r="C14" s="2" t="s">
        <v>106</v>
      </c>
      <c r="D14" s="2">
        <v>30</v>
      </c>
      <c r="E14" s="2" t="s">
        <v>43</v>
      </c>
      <c r="F14" s="2" t="s">
        <v>104</v>
      </c>
      <c r="G14" s="3">
        <v>708</v>
      </c>
      <c r="H14" s="2">
        <f>D14*G14/30</f>
        <v>708</v>
      </c>
    </row>
    <row r="15" spans="3:8" x14ac:dyDescent="0.35">
      <c r="C15" s="2" t="s">
        <v>142</v>
      </c>
      <c r="D15" s="2">
        <v>20</v>
      </c>
      <c r="E15" s="2" t="s">
        <v>43</v>
      </c>
      <c r="F15" s="2" t="s">
        <v>35</v>
      </c>
      <c r="G15" s="4">
        <v>13750</v>
      </c>
      <c r="H15" s="5">
        <f>D15*G15/200</f>
        <v>1375</v>
      </c>
    </row>
    <row r="16" spans="3:8" x14ac:dyDescent="0.35">
      <c r="C16" s="2" t="s">
        <v>40</v>
      </c>
      <c r="D16" s="2">
        <v>10</v>
      </c>
      <c r="E16" s="2" t="s">
        <v>43</v>
      </c>
      <c r="F16" s="2" t="s">
        <v>35</v>
      </c>
      <c r="G16" s="4">
        <v>10400</v>
      </c>
      <c r="H16" s="5">
        <f>D16*G16/200</f>
        <v>520</v>
      </c>
    </row>
    <row r="17" spans="3:8" ht="15" thickBot="1" x14ac:dyDescent="0.4">
      <c r="C17" s="2" t="s">
        <v>6</v>
      </c>
      <c r="D17" s="2">
        <v>5</v>
      </c>
      <c r="E17" s="2" t="s">
        <v>7</v>
      </c>
      <c r="F17" s="2" t="s">
        <v>36</v>
      </c>
      <c r="G17" s="4">
        <v>8500</v>
      </c>
      <c r="H17" s="5">
        <f>D17*G17/900</f>
        <v>47.222222222222221</v>
      </c>
    </row>
    <row r="18" spans="3:8" ht="19" thickBot="1" x14ac:dyDescent="0.5">
      <c r="G18" s="6" t="s">
        <v>9</v>
      </c>
      <c r="H18" s="7">
        <f>SUM(H6:H17)</f>
        <v>10108.486111111111</v>
      </c>
    </row>
    <row r="34" spans="3:8" x14ac:dyDescent="0.35">
      <c r="C34" s="10" t="s">
        <v>212</v>
      </c>
    </row>
    <row r="35" spans="3:8" ht="15.5" x14ac:dyDescent="0.35">
      <c r="C35" s="1" t="s">
        <v>0</v>
      </c>
      <c r="D35" s="1" t="s">
        <v>1</v>
      </c>
      <c r="E35" s="1" t="s">
        <v>2</v>
      </c>
      <c r="F35" s="1" t="s">
        <v>38</v>
      </c>
      <c r="G35" s="1" t="s">
        <v>3</v>
      </c>
      <c r="H35" s="1" t="s">
        <v>39</v>
      </c>
    </row>
    <row r="36" spans="3:8" x14ac:dyDescent="0.35">
      <c r="C36" s="2" t="s">
        <v>162</v>
      </c>
      <c r="D36" s="2">
        <v>50</v>
      </c>
      <c r="E36" s="2" t="s">
        <v>43</v>
      </c>
      <c r="F36" s="2" t="s">
        <v>146</v>
      </c>
      <c r="G36" s="3">
        <v>2500</v>
      </c>
      <c r="H36" s="2">
        <f>D36*G36/320</f>
        <v>390.625</v>
      </c>
    </row>
    <row r="37" spans="3:8" x14ac:dyDescent="0.35">
      <c r="C37" s="2" t="s">
        <v>152</v>
      </c>
      <c r="D37" s="2">
        <v>132</v>
      </c>
      <c r="E37" s="2" t="s">
        <v>43</v>
      </c>
      <c r="F37" s="2" t="s">
        <v>197</v>
      </c>
      <c r="G37" s="3">
        <v>4206</v>
      </c>
      <c r="H37" s="2">
        <f>D37*G37/132</f>
        <v>4206</v>
      </c>
    </row>
    <row r="38" spans="3:8" x14ac:dyDescent="0.35">
      <c r="C38" s="2" t="s">
        <v>133</v>
      </c>
      <c r="D38" s="2">
        <v>15</v>
      </c>
      <c r="E38" s="2" t="s">
        <v>217</v>
      </c>
      <c r="F38" s="2" t="s">
        <v>48</v>
      </c>
      <c r="G38" s="3">
        <v>10500</v>
      </c>
      <c r="H38" s="2">
        <f>D38*G38/400</f>
        <v>393.75</v>
      </c>
    </row>
    <row r="39" spans="3:8" x14ac:dyDescent="0.35">
      <c r="C39" s="2" t="s">
        <v>163</v>
      </c>
      <c r="D39" s="2">
        <v>72</v>
      </c>
      <c r="E39" s="2" t="s">
        <v>43</v>
      </c>
      <c r="F39" s="2" t="s">
        <v>198</v>
      </c>
      <c r="G39" s="3">
        <v>701</v>
      </c>
      <c r="H39" s="2">
        <f>D39*G39/72</f>
        <v>701</v>
      </c>
    </row>
    <row r="40" spans="3:8" x14ac:dyDescent="0.35">
      <c r="C40" s="2" t="s">
        <v>106</v>
      </c>
      <c r="D40" s="2">
        <v>30</v>
      </c>
      <c r="E40" s="2" t="s">
        <v>43</v>
      </c>
      <c r="F40" s="2" t="s">
        <v>104</v>
      </c>
      <c r="G40" s="13">
        <v>708</v>
      </c>
      <c r="H40" s="2">
        <f>D40*G40/30</f>
        <v>708</v>
      </c>
    </row>
    <row r="41" spans="3:8" ht="15" thickBot="1" x14ac:dyDescent="0.4">
      <c r="C41" s="2" t="s">
        <v>134</v>
      </c>
      <c r="D41" s="2">
        <v>10</v>
      </c>
      <c r="E41" s="2" t="s">
        <v>43</v>
      </c>
      <c r="F41" s="2" t="s">
        <v>35</v>
      </c>
      <c r="G41" s="13">
        <v>10400</v>
      </c>
      <c r="H41" s="2">
        <f>D41*G41/200</f>
        <v>520</v>
      </c>
    </row>
    <row r="42" spans="3:8" ht="19" thickBot="1" x14ac:dyDescent="0.5">
      <c r="C42" s="8"/>
      <c r="G42" s="6" t="s">
        <v>9</v>
      </c>
      <c r="H42" s="7">
        <f>SUM(H36:H41)</f>
        <v>6919.375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Adobo base seco</vt:lpstr>
      <vt:lpstr>Alitas Base</vt:lpstr>
      <vt:lpstr>Salsas</vt:lpstr>
      <vt:lpstr>Rellenos</vt:lpstr>
      <vt:lpstr>Masa crepes</vt:lpstr>
      <vt:lpstr>Crepes salados</vt:lpstr>
      <vt:lpstr>Crepes dulces</vt:lpstr>
      <vt:lpstr>Sandwiches</vt:lpstr>
      <vt:lpstr>Hamburguesas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2026-04-14T14:17:47Z</dcterms:created>
  <dcterms:modified xsi:type="dcterms:W3CDTF">2026-04-15T02:37:56Z</dcterms:modified>
</cp:coreProperties>
</file>